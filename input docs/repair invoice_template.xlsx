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Kine/Downloads/"/>
    </mc:Choice>
  </mc:AlternateContent>
  <xr:revisionPtr revIDLastSave="0" documentId="8_{5E0F0D8D-2BBB-3A49-B8FC-29C7DAD4E390}" xr6:coauthVersionLast="47" xr6:coauthVersionMax="47" xr10:uidLastSave="{00000000-0000-0000-0000-000000000000}"/>
  <bookViews>
    <workbookView xWindow="0" yWindow="660" windowWidth="22900" windowHeight="17980" xr2:uid="{00000000-000D-0000-FFFF-FFFF00000000}"/>
  </bookViews>
  <sheets>
    <sheet name="37"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7" l="1"/>
  <c r="F27" i="7"/>
  <c r="F23" i="7"/>
</calcChain>
</file>

<file path=xl/sharedStrings.xml><?xml version="1.0" encoding="utf-8"?>
<sst xmlns="http://schemas.openxmlformats.org/spreadsheetml/2006/main" count="62" uniqueCount="45">
  <si>
    <t>KINEFINITY REPAIR INVOICE</t>
  </si>
  <si>
    <t>Invoice No:</t>
  </si>
  <si>
    <t>Date:</t>
  </si>
  <si>
    <t>Dealer RMA:</t>
  </si>
  <si>
    <t>RMA 7081</t>
  </si>
  <si>
    <t>CUSTOMER INFORMATION</t>
  </si>
  <si>
    <t>REPAIR INFORMATION</t>
  </si>
  <si>
    <t>Company:</t>
  </si>
  <si>
    <t>N/A</t>
  </si>
  <si>
    <t>Model:</t>
  </si>
  <si>
    <t>KineEVF</t>
  </si>
  <si>
    <t>Contact:</t>
  </si>
  <si>
    <t>Serial Number:</t>
  </si>
  <si>
    <t>EVF_149212</t>
  </si>
  <si>
    <t>Email:</t>
  </si>
  <si>
    <t>Warranty(in/out):</t>
  </si>
  <si>
    <t>Out of warranty</t>
  </si>
  <si>
    <t>BILL TO</t>
  </si>
  <si>
    <t>SHIPPING</t>
  </si>
  <si>
    <t>Proactive UK Ltd</t>
  </si>
  <si>
    <t>Tom</t>
  </si>
  <si>
    <t>Phone:</t>
  </si>
  <si>
    <t>+44 (0)144 2292929</t>
  </si>
  <si>
    <t>Returns@proav.co.uk</t>
  </si>
  <si>
    <t>Address:</t>
  </si>
  <si>
    <t>Unit 1 Eastman Way, Hemel</t>
  </si>
  <si>
    <t>Hempstead, Hertfordshire, HP2 7DU,</t>
  </si>
  <si>
    <t>United Kingdom</t>
  </si>
  <si>
    <t>#</t>
  </si>
  <si>
    <t>SKU</t>
  </si>
  <si>
    <t>Part Name</t>
  </si>
  <si>
    <t>Qty</t>
  </si>
  <si>
    <t>Unit Price</t>
  </si>
  <si>
    <t>Total</t>
  </si>
  <si>
    <t>Note</t>
  </si>
  <si>
    <t>S2-119-003-01</t>
  </si>
  <si>
    <t>KineEVF Optics Module</t>
  </si>
  <si>
    <t>part&amp;labour cost</t>
  </si>
  <si>
    <t>Subtotal (USD)</t>
  </si>
  <si>
    <t>Shipping Cost(USD)</t>
  </si>
  <si>
    <t>Total (USD)</t>
  </si>
  <si>
    <t>Description:</t>
  </si>
  <si>
    <t>The KineEVF is experiencing an issue where the diopter is no longer adjustable, with no visible signs of damage. Despite being disassembled and inspected by a ProAV engineer, it remains unadjustable, and there are no signs of foreign objects present.</t>
  </si>
  <si>
    <t>According to the feedback of the engineer, it is most likely that the rotation direction was reversed. Then, the user forcefully rotated it, causing the screw to break and the diopter to become non-adjustable.</t>
  </si>
  <si>
    <t>Problem be fixed by replacing the whole Optics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</si>
</sst>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8" formatCode="_(&quot;US$&quot;* #,##0.00_);_(&quot;US$&quot;* \(#,##0.00\);_(&quot;US$&quot;* &quot;-&quot;??_);_(@_)"/>
    <numFmt numFmtId="169" formatCode="_([$$-409]* #,##0.00_);_([$$-409]* \(#,##0.00\);_([$$-409]* &quot;-&quot;??_);_(@_)"/>
    <numFmt numFmtId="170" formatCode="yyyy/m/d;@"/>
    <numFmt numFmtId="171" formatCode="[$$-409]#,##0.00"/>
    <numFmt numFmtId="172" formatCode="_-[$$-409]* #,##0.00_ ;_-[$$-409]* \-#,##0.00\ ;_-[$$-409]* &quot;-&quot;??_ ;_-@_ "/>
  </numFmts>
  <fonts count="15">
    <font>
      <sz val="11"/>
      <color theme="1"/>
      <name val="微软雅黑"/>
      <charset val="134"/>
    </font>
    <font>
      <sz val="24"/>
      <color theme="1"/>
      <name val="微软雅黑"/>
      <charset val="134"/>
    </font>
    <font>
      <sz val="18"/>
      <name val="微软雅黑"/>
      <charset val="134"/>
    </font>
    <font>
      <b/>
      <sz val="14"/>
      <color theme="1"/>
      <name val="微软雅黑"/>
      <charset val="134"/>
    </font>
    <font>
      <sz val="14"/>
      <color theme="1"/>
      <name val="微软雅黑"/>
      <charset val="134"/>
    </font>
    <font>
      <sz val="14"/>
      <name val="微软雅黑"/>
      <charset val="134"/>
    </font>
    <font>
      <b/>
      <sz val="24"/>
      <color theme="1"/>
      <name val="微软雅黑"/>
      <charset val="134"/>
    </font>
    <font>
      <b/>
      <sz val="18"/>
      <color theme="1"/>
      <name val="微软雅黑"/>
      <charset val="134"/>
    </font>
    <font>
      <sz val="18"/>
      <color theme="1"/>
      <name val="微软雅黑"/>
      <charset val="134"/>
    </font>
    <font>
      <u/>
      <sz val="14"/>
      <color theme="1"/>
      <name val="微软雅黑"/>
      <charset val="134"/>
    </font>
    <font>
      <sz val="14"/>
      <color theme="0" tint="-0.499984740745262"/>
      <name val="微软雅黑"/>
      <charset val="134"/>
    </font>
    <font>
      <b/>
      <sz val="18"/>
      <name val="微软雅黑"/>
      <charset val="134"/>
    </font>
    <font>
      <b/>
      <sz val="14"/>
      <name val="微软雅黑"/>
      <charset val="134"/>
    </font>
    <font>
      <sz val="14"/>
      <color theme="0" tint="-0.499984740745262"/>
      <name val="微软雅黑"/>
      <charset val="134"/>
    </font>
    <font>
      <sz val="10"/>
      <name val="Verdana"/>
      <charset val="134"/>
    </font>
  </fonts>
  <fills count="3">
    <fill>
      <patternFill patternType="none"/>
    </fill>
    <fill>
      <patternFill patternType="gray125"/>
    </fill>
    <fill>
      <patternFill patternType="solid">
        <fgColor theme="0" tint="-4.9989318521683403E-2"/>
        <bgColor indexed="64"/>
      </patternFill>
    </fill>
  </fills>
  <borders count="13">
    <border>
      <left/>
      <right/>
      <top/>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s>
  <cellStyleXfs count="2">
    <xf numFmtId="0" fontId="0" fillId="0" borderId="0"/>
    <xf numFmtId="168" fontId="14" fillId="0" borderId="0"/>
  </cellStyleXfs>
  <cellXfs count="7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7" fillId="2" borderId="0" xfId="0" applyFont="1" applyFill="1" applyAlignment="1">
      <alignment horizontal="left" vertical="center"/>
    </xf>
    <xf numFmtId="0" fontId="2" fillId="2" borderId="0" xfId="0" applyFont="1" applyFill="1" applyAlignment="1">
      <alignment vertical="center"/>
    </xf>
    <xf numFmtId="0" fontId="8" fillId="2" borderId="0" xfId="0" applyFont="1" applyFill="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9" fillId="0" borderId="0" xfId="0" applyFont="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0" fontId="4" fillId="0" borderId="6" xfId="0" applyFont="1" applyBorder="1" applyAlignment="1">
      <alignment horizontal="center" vertical="center"/>
    </xf>
    <xf numFmtId="169" fontId="4" fillId="0" borderId="0" xfId="0" applyNumberFormat="1" applyFont="1" applyAlignment="1">
      <alignment horizontal="left" vertical="center"/>
    </xf>
    <xf numFmtId="0" fontId="5" fillId="0" borderId="0" xfId="0" applyFont="1" applyAlignment="1">
      <alignment vertical="center" wrapText="1"/>
    </xf>
    <xf numFmtId="0" fontId="4" fillId="0" borderId="7" xfId="0" applyFont="1" applyBorder="1" applyAlignment="1">
      <alignment horizontal="center" vertical="center"/>
    </xf>
    <xf numFmtId="0" fontId="5" fillId="0" borderId="8" xfId="0" applyFont="1" applyBorder="1" applyAlignment="1">
      <alignment horizontal="center" vertical="center"/>
    </xf>
    <xf numFmtId="0" fontId="5" fillId="0" borderId="8" xfId="0" applyFont="1" applyBorder="1" applyAlignment="1">
      <alignment vertical="center"/>
    </xf>
    <xf numFmtId="0" fontId="4" fillId="0" borderId="9"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right" vertical="center"/>
    </xf>
    <xf numFmtId="0" fontId="10" fillId="0" borderId="5" xfId="0" applyFont="1" applyBorder="1" applyAlignment="1">
      <alignment horizontal="center" vertical="center"/>
    </xf>
    <xf numFmtId="0" fontId="4" fillId="0" borderId="0" xfId="0" applyFont="1" applyAlignment="1">
      <alignment horizontal="left" vertical="center"/>
    </xf>
    <xf numFmtId="170" fontId="4" fillId="0" borderId="0" xfId="0" applyNumberFormat="1" applyFont="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vertical="center" wrapText="1"/>
    </xf>
    <xf numFmtId="0" fontId="11" fillId="2" borderId="0" xfId="0" applyFont="1" applyFill="1" applyAlignment="1">
      <alignment vertical="center"/>
    </xf>
    <xf numFmtId="171" fontId="7" fillId="2" borderId="0" xfId="0" applyNumberFormat="1" applyFont="1" applyFill="1" applyAlignment="1">
      <alignment horizontal="center" vertical="center"/>
    </xf>
    <xf numFmtId="171" fontId="3" fillId="0" borderId="0" xfId="0" applyNumberFormat="1" applyFont="1" applyAlignment="1">
      <alignment horizontal="center" vertical="center"/>
    </xf>
    <xf numFmtId="0" fontId="12" fillId="0" borderId="0" xfId="0" applyFont="1" applyAlignment="1">
      <alignment horizontal="left" vertical="center"/>
    </xf>
    <xf numFmtId="14" fontId="4" fillId="0" borderId="0" xfId="0" applyNumberFormat="1" applyFont="1" applyAlignment="1">
      <alignment horizontal="left" vertical="center"/>
    </xf>
    <xf numFmtId="14" fontId="3" fillId="0" borderId="0" xfId="0" applyNumberFormat="1" applyFont="1" applyAlignment="1">
      <alignment horizontal="left" vertical="center"/>
    </xf>
    <xf numFmtId="0" fontId="3" fillId="2" borderId="10" xfId="0" applyFont="1" applyFill="1" applyBorder="1" applyAlignment="1">
      <alignment horizontal="center" vertical="center"/>
    </xf>
    <xf numFmtId="169" fontId="4" fillId="0" borderId="6" xfId="0" applyNumberFormat="1" applyFont="1" applyBorder="1" applyAlignment="1">
      <alignment horizontal="right" vertical="center"/>
    </xf>
    <xf numFmtId="169" fontId="4" fillId="0" borderId="11" xfId="0" applyNumberFormat="1" applyFont="1" applyBorder="1" applyAlignment="1">
      <alignment horizontal="center" vertical="center"/>
    </xf>
    <xf numFmtId="169" fontId="4" fillId="0" borderId="6" xfId="0" applyNumberFormat="1" applyFont="1" applyBorder="1" applyAlignment="1">
      <alignment vertical="center"/>
    </xf>
    <xf numFmtId="169" fontId="4" fillId="0" borderId="9" xfId="0" applyNumberFormat="1" applyFont="1" applyBorder="1" applyAlignment="1">
      <alignment horizontal="right" vertical="center"/>
    </xf>
    <xf numFmtId="0" fontId="13" fillId="0" borderId="9" xfId="0" applyFont="1" applyBorder="1" applyAlignment="1">
      <alignment horizontal="center" vertical="center"/>
    </xf>
    <xf numFmtId="0" fontId="5" fillId="0" borderId="12" xfId="0" applyFont="1" applyBorder="1" applyAlignment="1">
      <alignment horizontal="center" vertical="center"/>
    </xf>
    <xf numFmtId="172" fontId="4" fillId="0" borderId="10" xfId="0" applyNumberFormat="1" applyFont="1" applyBorder="1" applyAlignment="1">
      <alignment vertical="center"/>
    </xf>
    <xf numFmtId="172" fontId="5" fillId="0" borderId="10" xfId="0" applyNumberFormat="1" applyFont="1" applyBorder="1" applyAlignment="1">
      <alignment vertical="center"/>
    </xf>
    <xf numFmtId="172" fontId="3" fillId="0" borderId="10" xfId="0" applyNumberFormat="1" applyFont="1" applyBorder="1" applyAlignment="1">
      <alignment vertical="center"/>
    </xf>
    <xf numFmtId="0" fontId="4" fillId="0" borderId="0" xfId="0" quotePrefix="1" applyFont="1" applyAlignment="1">
      <alignment vertical="center"/>
    </xf>
    <xf numFmtId="169" fontId="5" fillId="0" borderId="7" xfId="0" applyNumberFormat="1" applyFont="1" applyBorder="1" applyAlignment="1">
      <alignment horizontal="right" vertical="center"/>
    </xf>
    <xf numFmtId="169" fontId="5" fillId="0" borderId="12" xfId="0" applyNumberFormat="1" applyFont="1" applyBorder="1" applyAlignment="1">
      <alignment horizontal="right" vertical="center"/>
    </xf>
    <xf numFmtId="169" fontId="5" fillId="0" borderId="2" xfId="0" applyNumberFormat="1" applyFont="1" applyBorder="1" applyAlignment="1">
      <alignment horizontal="right" vertical="center"/>
    </xf>
    <xf numFmtId="169" fontId="5" fillId="0" borderId="10" xfId="0" applyNumberFormat="1" applyFont="1" applyBorder="1" applyAlignment="1">
      <alignment horizontal="right" vertical="center"/>
    </xf>
    <xf numFmtId="0" fontId="3" fillId="0" borderId="2" xfId="0" applyFont="1" applyBorder="1" applyAlignment="1">
      <alignment horizontal="right" vertical="center"/>
    </xf>
    <xf numFmtId="0" fontId="3" fillId="0" borderId="10" xfId="0" applyFont="1" applyBorder="1" applyAlignment="1">
      <alignment horizontal="right" vertical="center"/>
    </xf>
    <xf numFmtId="0" fontId="7" fillId="2" borderId="2" xfId="0" applyFont="1" applyFill="1" applyBorder="1" applyAlignment="1">
      <alignment horizontal="left" vertical="center"/>
    </xf>
    <xf numFmtId="0" fontId="7" fillId="2" borderId="3" xfId="0" applyFont="1" applyFill="1" applyBorder="1" applyAlignment="1">
      <alignment horizontal="left" vertical="center"/>
    </xf>
    <xf numFmtId="0" fontId="7" fillId="2" borderId="10" xfId="0" applyFont="1" applyFill="1" applyBorder="1" applyAlignment="1">
      <alignment horizontal="left" vertical="center"/>
    </xf>
    <xf numFmtId="0" fontId="10" fillId="0" borderId="0" xfId="0" applyFont="1" applyAlignment="1">
      <alignment horizontal="left" vertical="center" wrapText="1"/>
    </xf>
    <xf numFmtId="0" fontId="10" fillId="0" borderId="11" xfId="0" applyFont="1" applyBorder="1" applyAlignment="1">
      <alignment horizontal="left" vertical="center" wrapText="1"/>
    </xf>
    <xf numFmtId="0" fontId="4" fillId="0" borderId="0" xfId="0" applyFont="1" applyAlignment="1">
      <alignment horizontal="left" vertical="center" wrapText="1"/>
    </xf>
    <xf numFmtId="0" fontId="4" fillId="0" borderId="11" xfId="0" applyFont="1" applyBorder="1" applyAlignment="1">
      <alignment horizontal="left" vertical="center" wrapText="1"/>
    </xf>
    <xf numFmtId="0" fontId="4" fillId="0" borderId="0" xfId="0" applyFont="1" applyAlignment="1">
      <alignment horizontal="left" vertical="center"/>
    </xf>
    <xf numFmtId="0" fontId="4" fillId="0" borderId="11" xfId="0" applyFont="1" applyBorder="1" applyAlignment="1">
      <alignment horizontal="left" vertical="center"/>
    </xf>
    <xf numFmtId="0" fontId="4" fillId="0" borderId="8" xfId="0" applyFont="1" applyBorder="1" applyAlignment="1">
      <alignment horizontal="left" vertical="center" wrapText="1"/>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6" fillId="0" borderId="0" xfId="0" applyFont="1" applyAlignment="1">
      <alignment horizontal="left" vertical="top"/>
    </xf>
    <xf numFmtId="0" fontId="6" fillId="0" borderId="1" xfId="0" applyFont="1" applyBorder="1" applyAlignment="1">
      <alignment horizontal="left" vertical="top"/>
    </xf>
  </cellXfs>
  <cellStyles count="2">
    <cellStyle name="Normal" xfId="0" builtinId="0"/>
    <cellStyle name="常规 7 2 2" xfId="1" xr:uid="{00000000-0005-0000-0000-00003100000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turns@proav.co.uk" TargetMode="External"/><Relationship Id="rId2" Type="http://schemas.openxmlformats.org/officeDocument/2006/relationships/hyperlink" Target="mailto:Returns@proav.co.uk" TargetMode="External"/><Relationship Id="rId1" Type="http://schemas.openxmlformats.org/officeDocument/2006/relationships/hyperlink" Target="mailto:minos@cyprianfilmsny.com"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7"/>
  <sheetViews>
    <sheetView tabSelected="1" view="pageLayout" topLeftCell="A14" zoomScale="41" zoomScaleNormal="100" zoomScalePageLayoutView="41" workbookViewId="0">
      <selection activeCell="C40" sqref="C40"/>
    </sheetView>
  </sheetViews>
  <sheetFormatPr baseColWidth="10" defaultColWidth="8.83203125" defaultRowHeight="36" customHeight="1"/>
  <cols>
    <col min="1" max="1" width="13" style="4" customWidth="1"/>
    <col min="2" max="2" width="20.33203125" style="4" customWidth="1"/>
    <col min="3" max="3" width="39.1640625" style="4" customWidth="1"/>
    <col min="4" max="4" width="9.5" style="6" customWidth="1"/>
    <col min="5" max="6" width="20.1640625" style="4" customWidth="1"/>
    <col min="7" max="7" width="33" style="6" customWidth="1"/>
    <col min="8" max="8" width="8.83203125" style="4" customWidth="1"/>
    <col min="9" max="11" width="8.83203125" style="4"/>
    <col min="12" max="12" width="8.83203125" style="4" customWidth="1"/>
    <col min="13" max="16384" width="8.83203125" style="4"/>
  </cols>
  <sheetData>
    <row r="2" spans="1:12" s="1" customFormat="1" ht="32.25" customHeight="1">
      <c r="A2" s="70" t="s">
        <v>0</v>
      </c>
      <c r="B2" s="70"/>
      <c r="C2" s="70"/>
      <c r="D2" s="6"/>
      <c r="E2" s="11" t="s">
        <v>1</v>
      </c>
      <c r="F2" s="4"/>
      <c r="G2" s="6"/>
      <c r="H2" s="4"/>
      <c r="I2" s="4"/>
      <c r="J2" s="4"/>
      <c r="K2" s="4"/>
      <c r="L2" s="4"/>
    </row>
    <row r="3" spans="1:12" ht="32.25" customHeight="1">
      <c r="A3" s="70"/>
      <c r="B3" s="70"/>
      <c r="C3" s="70"/>
      <c r="E3" s="11" t="s">
        <v>2</v>
      </c>
      <c r="F3" s="32">
        <v>45607</v>
      </c>
    </row>
    <row r="4" spans="1:12" ht="32.25" customHeight="1">
      <c r="A4" s="71"/>
      <c r="B4" s="71"/>
      <c r="C4" s="71"/>
      <c r="D4" s="7"/>
      <c r="E4" s="33" t="s">
        <v>3</v>
      </c>
      <c r="F4" s="34" t="s">
        <v>4</v>
      </c>
      <c r="G4" s="7"/>
    </row>
    <row r="5" spans="1:12" ht="32.25" customHeight="1"/>
    <row r="6" spans="1:12" s="2" customFormat="1" ht="47" customHeight="1">
      <c r="A6" s="8" t="s">
        <v>5</v>
      </c>
      <c r="B6" s="9"/>
      <c r="C6" s="10"/>
      <c r="E6" s="35" t="s">
        <v>6</v>
      </c>
      <c r="F6" s="9"/>
      <c r="G6" s="36"/>
    </row>
    <row r="7" spans="1:12" ht="32.25" customHeight="1">
      <c r="A7" s="11" t="s">
        <v>7</v>
      </c>
      <c r="B7" s="4" t="s">
        <v>8</v>
      </c>
      <c r="E7" s="11" t="s">
        <v>9</v>
      </c>
      <c r="F7" s="31" t="s">
        <v>10</v>
      </c>
      <c r="G7" s="37"/>
    </row>
    <row r="8" spans="1:12" ht="36" customHeight="1">
      <c r="A8" s="3" t="s">
        <v>11</v>
      </c>
      <c r="B8" s="4" t="s">
        <v>8</v>
      </c>
      <c r="E8" s="38" t="s">
        <v>12</v>
      </c>
      <c r="F8" s="31" t="s">
        <v>13</v>
      </c>
      <c r="G8" s="4"/>
    </row>
    <row r="9" spans="1:12" ht="36" customHeight="1">
      <c r="A9" s="11" t="s">
        <v>14</v>
      </c>
      <c r="B9" s="4" t="s">
        <v>8</v>
      </c>
      <c r="C9" s="3"/>
      <c r="E9" s="11" t="s">
        <v>15</v>
      </c>
      <c r="F9" s="4" t="s">
        <v>16</v>
      </c>
      <c r="G9" s="3"/>
    </row>
    <row r="10" spans="1:12" ht="36" customHeight="1">
      <c r="A10" s="11"/>
      <c r="E10" s="31"/>
      <c r="F10" s="39"/>
    </row>
    <row r="11" spans="1:12" s="2" customFormat="1" ht="47" customHeight="1">
      <c r="A11" s="8" t="s">
        <v>17</v>
      </c>
      <c r="B11" s="9"/>
      <c r="C11" s="10"/>
      <c r="E11" s="35" t="s">
        <v>18</v>
      </c>
      <c r="F11" s="9"/>
      <c r="G11" s="36"/>
    </row>
    <row r="12" spans="1:12" ht="36" customHeight="1">
      <c r="A12" s="11" t="s">
        <v>7</v>
      </c>
      <c r="B12" s="4" t="s">
        <v>19</v>
      </c>
      <c r="E12" s="11" t="s">
        <v>7</v>
      </c>
      <c r="F12" s="4" t="s">
        <v>19</v>
      </c>
    </row>
    <row r="13" spans="1:12" ht="36" customHeight="1">
      <c r="A13" s="11" t="s">
        <v>11</v>
      </c>
      <c r="B13" s="4" t="s">
        <v>20</v>
      </c>
      <c r="E13" s="11" t="s">
        <v>11</v>
      </c>
      <c r="F13" s="4" t="s">
        <v>20</v>
      </c>
    </row>
    <row r="14" spans="1:12" s="3" customFormat="1" ht="36" customHeight="1">
      <c r="A14" s="3" t="s">
        <v>21</v>
      </c>
      <c r="B14" s="51" t="s">
        <v>22</v>
      </c>
      <c r="C14" s="4"/>
      <c r="D14" s="12"/>
      <c r="E14" s="3" t="s">
        <v>21</v>
      </c>
      <c r="F14" s="51" t="s">
        <v>22</v>
      </c>
      <c r="G14" s="6"/>
    </row>
    <row r="15" spans="1:12" s="3" customFormat="1" ht="36" customHeight="1">
      <c r="A15" s="3" t="s">
        <v>14</v>
      </c>
      <c r="B15" s="13" t="s">
        <v>23</v>
      </c>
      <c r="C15" s="12"/>
      <c r="D15" s="12"/>
      <c r="E15" s="3" t="s">
        <v>14</v>
      </c>
      <c r="F15" s="13" t="s">
        <v>23</v>
      </c>
    </row>
    <row r="16" spans="1:12" ht="36" customHeight="1">
      <c r="A16" s="11" t="s">
        <v>24</v>
      </c>
      <c r="B16" s="4" t="s">
        <v>25</v>
      </c>
      <c r="E16" s="11" t="s">
        <v>24</v>
      </c>
      <c r="F16" s="4" t="s">
        <v>25</v>
      </c>
    </row>
    <row r="17" spans="1:7" ht="36" customHeight="1">
      <c r="A17" s="11"/>
      <c r="B17" s="4" t="s">
        <v>26</v>
      </c>
      <c r="E17" s="31"/>
      <c r="F17" s="4" t="s">
        <v>26</v>
      </c>
    </row>
    <row r="18" spans="1:7" ht="36" customHeight="1">
      <c r="B18" s="4" t="s">
        <v>27</v>
      </c>
      <c r="F18" s="4" t="s">
        <v>27</v>
      </c>
    </row>
    <row r="20" spans="1:7" ht="36" customHeight="1">
      <c r="F20" s="39"/>
    </row>
    <row r="21" spans="1:7" ht="36" customHeight="1">
      <c r="F21" s="40"/>
    </row>
    <row r="22" spans="1:7" ht="42" customHeight="1">
      <c r="A22" s="14" t="s">
        <v>28</v>
      </c>
      <c r="B22" s="15" t="s">
        <v>29</v>
      </c>
      <c r="C22" s="15" t="s">
        <v>30</v>
      </c>
      <c r="D22" s="16" t="s">
        <v>31</v>
      </c>
      <c r="E22" s="16" t="s">
        <v>32</v>
      </c>
      <c r="F22" s="16" t="s">
        <v>33</v>
      </c>
      <c r="G22" s="41" t="s">
        <v>34</v>
      </c>
    </row>
    <row r="23" spans="1:7" ht="39" customHeight="1">
      <c r="A23" s="17">
        <v>1</v>
      </c>
      <c r="B23" s="18" t="s">
        <v>35</v>
      </c>
      <c r="C23" s="19" t="s">
        <v>36</v>
      </c>
      <c r="D23" s="20">
        <v>1</v>
      </c>
      <c r="E23" s="42">
        <v>89</v>
      </c>
      <c r="F23" s="42">
        <f>D23*E23</f>
        <v>89</v>
      </c>
      <c r="G23" s="43" t="s">
        <v>37</v>
      </c>
    </row>
    <row r="24" spans="1:7" ht="39" customHeight="1">
      <c r="A24" s="17">
        <v>2</v>
      </c>
      <c r="B24" s="18"/>
      <c r="C24" s="21"/>
      <c r="D24" s="20"/>
      <c r="E24" s="44"/>
      <c r="F24" s="44"/>
      <c r="G24" s="43"/>
    </row>
    <row r="25" spans="1:7" ht="39" customHeight="1">
      <c r="A25" s="17">
        <v>3</v>
      </c>
      <c r="B25" s="18"/>
      <c r="C25" s="22"/>
      <c r="D25" s="20"/>
      <c r="E25" s="42"/>
      <c r="F25" s="42"/>
      <c r="G25" s="43"/>
    </row>
    <row r="26" spans="1:7" ht="32.25" customHeight="1">
      <c r="A26" s="23"/>
      <c r="B26" s="24"/>
      <c r="C26" s="25"/>
      <c r="D26" s="26"/>
      <c r="E26" s="45"/>
      <c r="F26" s="46"/>
      <c r="G26" s="47"/>
    </row>
    <row r="27" spans="1:7" ht="34" customHeight="1">
      <c r="A27" s="6"/>
      <c r="B27" s="27"/>
      <c r="C27" s="5"/>
      <c r="D27" s="52" t="s">
        <v>38</v>
      </c>
      <c r="E27" s="53"/>
      <c r="F27" s="48">
        <f>SUM(F23:F26)</f>
        <v>89</v>
      </c>
      <c r="G27" s="27"/>
    </row>
    <row r="28" spans="1:7" ht="34" customHeight="1">
      <c r="A28" s="6"/>
      <c r="B28" s="28"/>
      <c r="C28" s="5"/>
      <c r="D28" s="54" t="s">
        <v>39</v>
      </c>
      <c r="E28" s="55"/>
      <c r="F28" s="49">
        <v>29</v>
      </c>
      <c r="G28" s="27"/>
    </row>
    <row r="29" spans="1:7" ht="34" customHeight="1">
      <c r="C29" s="29"/>
      <c r="D29" s="56" t="s">
        <v>40</v>
      </c>
      <c r="E29" s="57"/>
      <c r="F29" s="50">
        <f>SUM(F27:F28)</f>
        <v>118</v>
      </c>
    </row>
    <row r="30" spans="1:7" s="5" customFormat="1" ht="32.25" customHeight="1"/>
    <row r="33" spans="1:7" ht="47" customHeight="1">
      <c r="A33" s="58" t="s">
        <v>41</v>
      </c>
      <c r="B33" s="59"/>
      <c r="C33" s="59"/>
      <c r="D33" s="59"/>
      <c r="E33" s="59"/>
      <c r="F33" s="59"/>
      <c r="G33" s="60"/>
    </row>
    <row r="34" spans="1:7" ht="48" customHeight="1">
      <c r="A34" s="30">
        <v>1</v>
      </c>
      <c r="B34" s="61" t="s">
        <v>42</v>
      </c>
      <c r="C34" s="61"/>
      <c r="D34" s="61"/>
      <c r="E34" s="61"/>
      <c r="F34" s="61"/>
      <c r="G34" s="62"/>
    </row>
    <row r="35" spans="1:7" ht="48" customHeight="1">
      <c r="A35" s="17">
        <v>2</v>
      </c>
      <c r="B35" s="63" t="s">
        <v>43</v>
      </c>
      <c r="C35" s="63"/>
      <c r="D35" s="63"/>
      <c r="E35" s="63"/>
      <c r="F35" s="63"/>
      <c r="G35" s="64"/>
    </row>
    <row r="36" spans="1:7" ht="48" customHeight="1">
      <c r="A36" s="17">
        <v>3</v>
      </c>
      <c r="B36" s="65" t="s">
        <v>44</v>
      </c>
      <c r="C36" s="65"/>
      <c r="D36" s="65"/>
      <c r="E36" s="65"/>
      <c r="F36" s="65"/>
      <c r="G36" s="66"/>
    </row>
    <row r="37" spans="1:7" ht="48" customHeight="1">
      <c r="A37" s="23"/>
      <c r="B37" s="67"/>
      <c r="C37" s="68"/>
      <c r="D37" s="68"/>
      <c r="E37" s="68"/>
      <c r="F37" s="68"/>
      <c r="G37" s="69"/>
    </row>
  </sheetData>
  <mergeCells count="9">
    <mergeCell ref="B35:G35"/>
    <mergeCell ref="B36:G36"/>
    <mergeCell ref="B37:G37"/>
    <mergeCell ref="A2:C4"/>
    <mergeCell ref="D27:E27"/>
    <mergeCell ref="D28:E28"/>
    <mergeCell ref="D29:E29"/>
    <mergeCell ref="A33:G33"/>
    <mergeCell ref="B34:G34"/>
  </mergeCells>
  <hyperlinks>
    <hyperlink ref="B9" r:id="rId1" xr:uid="{00000000-0004-0000-0000-000000000000}"/>
    <hyperlink ref="B15" r:id="rId2" xr:uid="{00000000-0004-0000-0000-000001000000}"/>
    <hyperlink ref="F15" r:id="rId3" xr:uid="{00000000-0004-0000-0000-000002000000}"/>
  </hyperlinks>
  <pageMargins left="0.7" right="0.7" top="0.92708333333333304" bottom="0.94791666666666696" header="0.3" footer="0.3"/>
  <pageSetup paperSize="9" scale="50" orientation="portrait" horizontalDpi="1200" verticalDpi="1200"/>
  <headerFooter>
    <oddHeader>&amp;R&amp;G</oddHeader>
    <oddFooter>&amp;LKinefinity Inc.
Rm 1-6, Bldg #1, Enji West Park, No.1, Fuwailiangjiadian, Haidian District, Beijing, 100142.
China&amp;RTel:  0086-10-5124 3411
Email: sales@kinefinity.com   
www.kinefinity.com</oddFooter>
  </headerFooter>
  <legacyDrawingHF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37</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dc:creator>
  <cp:lastModifiedBy>Office</cp:lastModifiedBy>
  <cp:lastPrinted>2022-01-07T15:10:00Z</cp:lastPrinted>
  <dcterms:created xsi:type="dcterms:W3CDTF">2018-11-25T14:42:00Z</dcterms:created>
  <dcterms:modified xsi:type="dcterms:W3CDTF">2026-01-30T13:51:00Z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0F6E7FAF5FBE11BC6D731B676F1EDADE_43</vt:lpwstr>
  </property>
  <property fmtid="{D5CDD505-2E9C-101B-9397-08002B2CF9AE}" pid="3" name="KSOProductBuildVer">
    <vt:lpwstr>2052-6.11.0.8885</vt:lpwstr>
  </property>
</Properties>
</file>