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styles.xml" ContentType="application/vnd.openxmlformats-officedocument.spreadsheetml.styles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docProps/core.xml" ContentType="application/vnd.openxmlformats-package.core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返修流程" sheetId="1" r:id="rId3"/>
    <sheet name="国外寄回" sheetId="2" r:id="rId4"/>
    <sheet name="经销商返修记录（23年）" sheetId="3" r:id="rId5"/>
    <sheet name="RMA规则" sheetId="4" r:id="rId6"/>
    <sheet name="总结&amp;问题记录" sheetId="5" r:id="rId7"/>
    <sheet name="备件使用状态" sheetId="6" r:id="rId8"/>
    <sheet name="备件发货记录" sheetId="7" r:id="rId9"/>
  </sheets>
  <calcPr/>
</workbook>
</file>

<file path=xl/sharedStrings.xml><?xml version="1.0" encoding="utf-8"?>
<sst xmlns="http://schemas.openxmlformats.org/spreadsheetml/2006/main" count="533" uniqueCount="533">
  <si>
    <t/>
  </si>
  <si>
    <t>#</t>
  </si>
  <si>
    <t>工具</t>
  </si>
  <si>
    <t>用途</t>
  </si>
  <si>
    <t>链接</t>
  </si>
  <si>
    <t>返修流程图</t>
  </si>
  <si>
    <t>流程参考</t>
  </si>
  <si>
    <t>返修价格单</t>
  </si>
  <si>
    <t>维修配件价格信息确认</t>
  </si>
  <si>
    <t>返修产品状态</t>
  </si>
  <si>
    <t>更新对应寄回产品状态</t>
  </si>
  <si>
    <t>更新对应产品状态</t>
  </si>
  <si>
    <t>维修明细/发票</t>
  </si>
  <si>
    <t>给客户的返修情况说明</t>
  </si>
  <si>
    <t>问题记录</t>
  </si>
  <si>
    <t>问题反馈记录更新</t>
  </si>
  <si>
    <t>散户返修流程</t>
  </si>
  <si>
    <t>流程</t>
  </si>
  <si>
    <t>对接人</t>
  </si>
  <si>
    <t>备注</t>
  </si>
  <si>
    <t>问题确认</t>
  </si>
  <si>
    <t>客户提供设备信息、问题视频、问题描述</t>
  </si>
  <si>
    <t>FB/Support邮箱</t>
  </si>
  <si>
    <t>客户</t>
  </si>
  <si>
    <t>每天固定时间关注下Facebook service群和邮箱客户反馈的问题，经销商/其他用户没有回复的帖子，主动回复下。</t>
  </si>
  <si>
    <t>1. 帮助客户排除问题，和国内售后一致。
2. 客户发的问题视频，不要让他们直接发视频，而是上传然后发链接。</t>
  </si>
  <si>
    <t>知识库</t>
  </si>
  <si>
    <t>1. 如果客户从经销商购买，可以让他们找经销商处理
2. 如果非经销商购买，或者别的原因；可以Kine直接处理
3. 欧洲散户售后，可以看看EU Office能否处理</t>
  </si>
  <si>
    <t>机器过保、或在保但人为因素损坏；如果问题原因明确，可以提前和客户报个价，客户决定是否维修。</t>
  </si>
  <si>
    <t>设备寄回</t>
  </si>
  <si>
    <t>1. 客户自行寄回：告知客户申报名称、申报价值、寄回渠道（UPS/DHL）、收货地址
2. 安排上门取件；</t>
  </si>
  <si>
    <t>流程和注意事项详见表2，视情况安排两种</t>
  </si>
  <si>
    <t>设备返修</t>
  </si>
  <si>
    <t>收到寄回的设备后，安排深圳返修，通知客户已收到</t>
  </si>
  <si>
    <t>工单</t>
  </si>
  <si>
    <t>生产部</t>
  </si>
  <si>
    <t>维修费用</t>
  </si>
  <si>
    <t>确认维修明细和维修价格单</t>
  </si>
  <si>
    <t>返修价格单/返修明细invoice</t>
  </si>
  <si>
    <t>Sherry、刘星宇</t>
  </si>
  <si>
    <t>返修运费</t>
  </si>
  <si>
    <t>在保我们承担从工厂寄给客户的运费，过保需要客户承担运费。运费具体多少，可提前让深圳帮助报价。</t>
  </si>
  <si>
    <t>深圳/货代</t>
  </si>
  <si>
    <t>N/A</t>
  </si>
  <si>
    <t>客户寄工厂运费，一般自行承担。</t>
  </si>
  <si>
    <t>确认付款</t>
  </si>
  <si>
    <t>对应账户</t>
  </si>
  <si>
    <t>Sherry</t>
  </si>
  <si>
    <t>返修发货</t>
  </si>
  <si>
    <t>确认到账后，和客户确认收件地址；
给客户寄出返修设备；流程基本同订单发货。
更新单号给客户</t>
  </si>
  <si>
    <t>CI发票</t>
  </si>
  <si>
    <t>经销商售后能力</t>
  </si>
  <si>
    <t>经销商</t>
  </si>
  <si>
    <t>售后范围</t>
  </si>
  <si>
    <t>售后能力</t>
  </si>
  <si>
    <t>邮箱</t>
  </si>
  <si>
    <t>ProAV</t>
  </si>
  <si>
    <t>英国/部分欧洲客户</t>
  </si>
  <si>
    <t>1. 可以处理大部分不涉及自己刷程序、清灰的维修；
2. 例如更换前部/Back/SDI口/RS口板/TF卡等；
3. 持有一些维修配件库存；</t>
  </si>
  <si>
    <t>Tom</t>
  </si>
  <si>
    <t>Gafpa</t>
  </si>
  <si>
    <t>大部分欧洲客户</t>
  </si>
  <si>
    <t>Jerome</t>
  </si>
  <si>
    <t>EU Office</t>
  </si>
  <si>
    <t>除PAV、Gafpa的欧洲经销商、客户</t>
  </si>
  <si>
    <t>处理过前部更换、SDI更换；老机型MA更换</t>
  </si>
  <si>
    <t>Leon</t>
  </si>
  <si>
    <t>1SV</t>
  </si>
  <si>
    <t>在保美国客户</t>
  </si>
  <si>
    <t>24.4开始成为美国经销商；
1. 有售后部门，但是目前没有处理过维修</t>
  </si>
  <si>
    <t>Matt</t>
  </si>
  <si>
    <t>Cinetx</t>
  </si>
  <si>
    <t>加拿大客户</t>
  </si>
  <si>
    <t>1. 可以处理大部分不涉及刷程序、清灰的维修工作</t>
  </si>
  <si>
    <t>Dong</t>
  </si>
  <si>
    <t>RMK</t>
  </si>
  <si>
    <t>澳洲客户</t>
  </si>
  <si>
    <t>不处理售后；无论在保过保</t>
  </si>
  <si>
    <t>Lucas</t>
  </si>
  <si>
    <t>DP  Gadget</t>
  </si>
  <si>
    <t>东南亚客户</t>
  </si>
  <si>
    <t>可以处理更换前部/Back板等基础维修工作</t>
  </si>
  <si>
    <t>Eric</t>
  </si>
  <si>
    <t>其他经销商</t>
  </si>
  <si>
    <t>对应客户</t>
  </si>
  <si>
    <t>根据情况，安排寄回处理或就近返修；如visuals、Videoking等</t>
  </si>
  <si>
    <t>经销商返修流程</t>
  </si>
  <si>
    <t>Status</t>
  </si>
  <si>
    <t>Notes</t>
  </si>
  <si>
    <t>In Charge</t>
  </si>
  <si>
    <t>Note</t>
  </si>
  <si>
    <t>经销商提供设备信息、问题视频、问题描述</t>
  </si>
  <si>
    <t>May</t>
  </si>
  <si>
    <t>邮件</t>
  </si>
  <si>
    <t>1. 帮助经销商确认问题，和国内售后一致；
2. 客户发的问题视频，不要让他们直接发视频，而是上传然后发链接。</t>
  </si>
  <si>
    <t>问题确认可以和刘星宇、刘玖龙咨询</t>
  </si>
  <si>
    <t>1. 如果是经销商可以自行解决的问题，确认经销商有配件可让对方自行维修；
2. 如果是必须寄回的问题，则协商安排寄回；</t>
  </si>
  <si>
    <t>1）经销商维修能力见后说明；
2）机器过保、或在保但人为因素损坏；如果问题原因明确，可以提前和经销商/客户报价，对方决定是否维修。</t>
  </si>
  <si>
    <t>提供寄回明细给碧珊，确认寄回地址、申报、海关发票、渠道（UPS/DHL）的填写；</t>
  </si>
  <si>
    <t>May/碧珊</t>
  </si>
  <si>
    <t>企业微信</t>
  </si>
  <si>
    <t>1. 自行寄回：提供海关发票填写明细，对方安排寄回；
2. 上门取件：确认对方取件信息，直接通过Kine UPS账户，安排上门取件；</t>
  </si>
  <si>
    <t>寄出后在返修产品状态表中更新状态、同时需要通知碧珊</t>
  </si>
  <si>
    <t>收到寄回的设备后：
1. 安排深圳返修；
2. 通知客户已收到</t>
  </si>
  <si>
    <t>确认维修明细和维修价格单，过保则收取对应费用；</t>
  </si>
  <si>
    <t>1. 在保：承担从工厂寄给客户的运费，
2. 过保：需要客户承担运费，运费具体多少，可提前让深圳报价。</t>
  </si>
  <si>
    <t>向Kinefinity付款，付款账户、流程同经销商订单处理流程。</t>
  </si>
  <si>
    <t>问题判断流程</t>
  </si>
  <si>
    <t>节点</t>
  </si>
  <si>
    <t>内容</t>
  </si>
  <si>
    <t>负责人</t>
  </si>
  <si>
    <t>根据知识库、经验判断问题原因</t>
  </si>
  <si>
    <t>客服</t>
  </si>
  <si>
    <t>经销商/客户</t>
  </si>
  <si>
    <t>原因较为清晰、可以安排经销商返修</t>
  </si>
  <si>
    <t>原因比较模糊；可以结合经销商维修能力、维修速度；建议客户找经销商维修、经销商安排寄回、自行寄回</t>
  </si>
  <si>
    <t>一般问题分类</t>
  </si>
  <si>
    <t>直接维修</t>
  </si>
  <si>
    <t>SDI更换、Back板更换、HDA更换等基础维修</t>
  </si>
  <si>
    <t>需要准备刷好的配件</t>
  </si>
  <si>
    <t>TF卡、前部、EVF主板等需要刷序列号或其他信息的</t>
  </si>
  <si>
    <t>需要寄回</t>
  </si>
  <si>
    <t>MC、问题不明确的、没有明确维修说明的老机器</t>
  </si>
  <si>
    <t>名称</t>
  </si>
  <si>
    <t>型号</t>
  </si>
  <si>
    <t>目前库存</t>
  </si>
  <si>
    <t>待寄回</t>
  </si>
  <si>
    <t>2023年12月
维修汇总</t>
  </si>
  <si>
    <t>MAVO Edge/mark2
维修配件</t>
  </si>
  <si>
    <t>MC板</t>
  </si>
  <si>
    <t>MC8_V31</t>
  </si>
  <si>
    <t>侧屏</t>
  </si>
  <si>
    <t>KDO24qufma069</t>
  </si>
  <si>
    <t>Video1口</t>
  </si>
  <si>
    <t>video_top_fpc_v2</t>
  </si>
  <si>
    <t>Video2口</t>
  </si>
  <si>
    <t>video_bot_fpc_v2</t>
  </si>
  <si>
    <t>SDI模组</t>
  </si>
  <si>
    <t>sdi_v21a+sdi_stf_v3</t>
  </si>
  <si>
    <t>3.5mm/USB-C口</t>
  </si>
  <si>
    <t>mport_USB_V3</t>
  </si>
  <si>
    <t>风扇</t>
  </si>
  <si>
    <t>MF60151VX-1000C-G99</t>
  </si>
  <si>
    <t>USB小板</t>
  </si>
  <si>
    <t>mport_bot</t>
  </si>
  <si>
    <t>HDA板</t>
  </si>
  <si>
    <t>HDA_V32</t>
  </si>
  <si>
    <t>Back板_Edge</t>
  </si>
  <si>
    <t>BACK_V32</t>
  </si>
  <si>
    <t>Back板_mark2</t>
  </si>
  <si>
    <t>SBACK_V1</t>
  </si>
  <si>
    <t>按键板_Edge</t>
  </si>
  <si>
    <t>EKEY_V21</t>
  </si>
  <si>
    <t>按键板_mark2</t>
  </si>
  <si>
    <t>SEKEY_V1</t>
  </si>
  <si>
    <t>Edge 8K前部</t>
  </si>
  <si>
    <t>Edge 6K前部</t>
  </si>
  <si>
    <t>Terra 4K/MAVO S35/LF维修配件</t>
  </si>
  <si>
    <t>MA板</t>
  </si>
  <si>
    <t>主板</t>
  </si>
  <si>
    <t>Relay板</t>
  </si>
  <si>
    <t>SATA板</t>
  </si>
  <si>
    <t>按键板</t>
  </si>
  <si>
    <t>监看</t>
  </si>
  <si>
    <t>KineMON Video口</t>
  </si>
  <si>
    <t>FPC_V1.2</t>
  </si>
  <si>
    <t>5U2屏幕模块</t>
  </si>
  <si>
    <t>HL050T30-04_V1</t>
  </si>
  <si>
    <t>7U2屏幕模块</t>
  </si>
  <si>
    <t>ME050111</t>
  </si>
  <si>
    <t>KineMON 5U2电路板</t>
  </si>
  <si>
    <t>Kmon5_V4</t>
  </si>
  <si>
    <t>KineMON 7U2电路板</t>
  </si>
  <si>
    <t>Kmon7_bsy_V21</t>
  </si>
  <si>
    <t>5U PCB</t>
  </si>
  <si>
    <t>AKSCine</t>
  </si>
  <si>
    <t>MC _V31</t>
  </si>
  <si>
    <t>E8K前部</t>
  </si>
  <si>
    <t>BC69-D62B+KM4_102001</t>
  </si>
  <si>
    <t>E6K前部</t>
  </si>
  <si>
    <t>8136-3264+KM4_102015</t>
  </si>
  <si>
    <t>USB-C/3.5mm麦克风小板</t>
  </si>
  <si>
    <t>Taco 八爪鱼</t>
  </si>
  <si>
    <t>Back板</t>
  </si>
  <si>
    <t>back_v32</t>
  </si>
  <si>
    <t>hda_v22</t>
  </si>
  <si>
    <t>2023/10/31  方发货：Jerome</t>
  </si>
  <si>
    <t>国外返修寄回流程</t>
  </si>
  <si>
    <t>寄回</t>
  </si>
  <si>
    <t>和经销商/客户确认寄回商品的问题/明细；
确认为经销商无法/不愿处理后安排寄回</t>
  </si>
  <si>
    <t>国外经销商/客户</t>
  </si>
  <si>
    <t>寄回确认</t>
  </si>
  <si>
    <t>黄碧珊</t>
  </si>
  <si>
    <t>1. 提供海关发票；对方安排寄回；
2. 直接通过Kine UPS账户，安排上门取件</t>
  </si>
  <si>
    <t>寄回中</t>
  </si>
  <si>
    <t>2023.1.27</t>
  </si>
  <si>
    <t>维修</t>
  </si>
  <si>
    <t>Jerome更换Edge 8K back板，但是发现机器还是开不起来；机器寄回国内后发现是按键板排线没有接好</t>
  </si>
  <si>
    <t>确认寄回的机器，最好通过视频确认状态，确认需要寄回，避免出现此类情况</t>
  </si>
  <si>
    <t>事项</t>
  </si>
  <si>
    <t>说明</t>
  </si>
  <si>
    <t>建议</t>
  </si>
  <si>
    <t>返修确认</t>
  </si>
  <si>
    <t>建议Jerome自行维修部分机器：
1. Jerome尝试维修Edge 8K（A8FA-9317）无法开机问题，更换Back板，问题未解决；
2. 积攒的返修机器太多，Jerome不想处理；
3. Jerome不想支付直接寄回国内的运费，所以最终决定机器寄给ProAV处理。</t>
  </si>
  <si>
    <t xml:space="preserve">1. 还是建议Jerome处理部分维修工作；
</t>
  </si>
  <si>
    <t>Yolanda</t>
  </si>
  <si>
    <t>ProAV收到机器后，花费较多时间/邮件往来确认问题和如何处理；
1. PAV售后人员对Kine机器/Kine配件，都不太熟悉，第一次处理大批量Edge返修；</t>
  </si>
  <si>
    <t>1. 更新维修配件SKU，名称表格（已更新）；
2. 提供维修配件名称和对应图例（部分配件有）；
3. 提供维修手册下载链接（已提供）；</t>
  </si>
  <si>
    <t>Mavo Edge 8K（DF32-AB6C）
问题：两个Video口输出均有问题；只能显示logo
建议：尝试自行更换HDA板子
遇到问题：
1. 提供的HDA v32和Edge 8K实际使用的HDA v22不同，连接Lens口的插座分别为16针和8针；但事先未准备五芯Lens口；
2. PAV工程师尝试更换HDA v32，但Video口无输出问题未解决；
3. 尝试更换Video口测试中</t>
  </si>
  <si>
    <t>灰尘问题</t>
  </si>
  <si>
    <t>和张工再沟通，看能否提前备货；
否则每次遇到灰尘问题，确认序列号后再准备前部发给经销商，时间仍然比较长</t>
  </si>
  <si>
    <t>经销商和客户反馈有灰尘，但目前还是没有统计的灰尘等级判断标准；如果灰尘出现的条件非常刁钻，有些时候其实没有必要更换</t>
  </si>
  <si>
    <t>需要灰尘问题判断指南</t>
  </si>
  <si>
    <t>返修寄回</t>
  </si>
  <si>
    <t>PAV提供包装明细，Yolanda和碧珊直接做海关发票给他们，避免申报和品名出错</t>
  </si>
  <si>
    <t>由于海关查验，机器需要分批寄回，第一批货确认清关完成后才能寄出第二批：
Box1寄出时间：2023.12.4（周一）
Box2寄出时间：2023.12.11（周一）</t>
  </si>
  <si>
    <t>时间线略长</t>
  </si>
  <si>
    <t>备件管理</t>
  </si>
  <si>
    <t>目前只能通过邮件安排返修配件发货，通过本地/共享文档记录配件情况</t>
  </si>
  <si>
    <t>RMA</t>
  </si>
  <si>
    <t>状态</t>
  </si>
  <si>
    <t>机型</t>
  </si>
  <si>
    <t>问题</t>
  </si>
  <si>
    <t>记录</t>
  </si>
  <si>
    <t>问题反馈日期</t>
  </si>
  <si>
    <t>最近沟通日期</t>
  </si>
  <si>
    <t>期望解决日期</t>
  </si>
  <si>
    <t>时长</t>
  </si>
  <si>
    <t>序列号</t>
  </si>
  <si>
    <t>机器出货日期</t>
  </si>
  <si>
    <t>问题沟通中</t>
  </si>
  <si>
    <t>MAVO Edge 8K</t>
  </si>
  <si>
    <t>机器有灰尘</t>
  </si>
  <si>
    <t>BC3E-50C6</t>
  </si>
  <si>
    <t>MAVO mark2 LF</t>
  </si>
  <si>
    <t>7U2连接Video1，LED指示灯闪红，无信号输出；连接Video2可以正常工作</t>
  </si>
  <si>
    <t>2023.12.21 客户已经联系上Sarah，会在新年后送修；</t>
  </si>
  <si>
    <t>Sarah</t>
  </si>
  <si>
    <t>RA090-01003</t>
  </si>
  <si>
    <t>MAVO Edge 6K</t>
  </si>
  <si>
    <t>MAVO Edge 6K，卡农口ch1，有噪音</t>
  </si>
  <si>
    <t>Return(Tom)</t>
  </si>
  <si>
    <t>RMA 5883</t>
  </si>
  <si>
    <t>RA080-01009</t>
  </si>
  <si>
    <t>机器有灰尘，需要寄回清灰</t>
  </si>
  <si>
    <t>24.1.15 mediatec客户，机器需要寄回清灰</t>
  </si>
  <si>
    <t>Others</t>
  </si>
  <si>
    <t>RA510-01001</t>
  </si>
  <si>
    <t>深圳维修中</t>
  </si>
  <si>
    <t>配件</t>
  </si>
  <si>
    <t>电子E卡口，锁紧有问题</t>
  </si>
  <si>
    <t>24.1.3 收到问题反馈；
24.2.15 PAV收到Gafpa问题电子E，需要更换；
24.2.24 PAV寄出问题电子E，更换电子E待发出；</t>
  </si>
  <si>
    <t>Gapfa</t>
  </si>
  <si>
    <t>Se4_102006</t>
  </si>
  <si>
    <t>RA000005-12-24001</t>
  </si>
  <si>
    <t>MAVO S35</t>
  </si>
  <si>
    <t>客户Gianfranco的MAVO LF，MA出问题</t>
  </si>
  <si>
    <t>可以给客户提供免费更换的配件，人工费正常收；客户寄回机器给
24.1.7 客户收到ProAV寄回机器（更换MA），但机器仍然无法开机
24.2.4 ProAV收到客户寄回机器，检查了排线，未发现有连接问题；建议检测主板电池电量和尝试更换主板，可以约时间视频沟通
24.2.20 PAV无法检测出问题，寄回处理</t>
  </si>
  <si>
    <t>Nick</t>
  </si>
  <si>
    <t>Issue with Kinefinity Mavo S35</t>
  </si>
  <si>
    <t>RA000004-12-24001</t>
  </si>
  <si>
    <t>TERRA 4K</t>
  </si>
  <si>
    <t>红色竖线，需要更换MC</t>
  </si>
  <si>
    <t>24.2.17 客户FB发帖反馈T4素材有红色竖线；
24.2.19 回复客户，可以联系英国经销商，安排寄回处理；
24.2.21 PAV收到机器，安排寄回中；</t>
  </si>
  <si>
    <t>RA010001-12-24010</t>
  </si>
  <si>
    <t>Edge 8K，XLR有底噪、SDI输出有问题、机器有灰尘</t>
  </si>
  <si>
    <t>24.1.10 经销商询问能否给客户更换机器‘；回复一般不提供更换，可以给机器全面检测和保养；
24.2.20 机器寄回处理</t>
  </si>
  <si>
    <t>RA010001-12-24011</t>
  </si>
  <si>
    <t>Edge 8K，升级出现问题</t>
  </si>
  <si>
    <t>2024.1.23 收到问题反馈，升级7.2过程中机器卡死；重新开机无法开机
24.2.20 Jerome已经收到客户机器，安排寄回中；</t>
  </si>
  <si>
    <t>RA090-01001</t>
  </si>
  <si>
    <t>配件准备中,问题沟通中</t>
  </si>
  <si>
    <t>DP Gadget</t>
  </si>
  <si>
    <t>ME_206528</t>
  </si>
  <si>
    <t>RA090-01002</t>
  </si>
  <si>
    <t>ND灰尘问题</t>
  </si>
  <si>
    <t>ME_208701</t>
  </si>
  <si>
    <t>配件准备中</t>
  </si>
  <si>
    <t>MAVO mark2 LF，RS口有问题</t>
  </si>
  <si>
    <t xml:space="preserve">24.2.23 经销商用自己的RS口换了，之后再进配件；
</t>
  </si>
  <si>
    <t>me_206522</t>
  </si>
  <si>
    <t>配件已寄出</t>
  </si>
  <si>
    <t>2024.2.23 固件升级过程中掉电，开机时只显示logo，无法进入校正模式；tally指示灯红色闪烁；
24.2.20 Jerome已经收到客户机器，准备配件中；
24.2.24 寄出返修配件TF卡一张</t>
  </si>
  <si>
    <t>客户Ívar Kristján Ívarsson，23年7月，反馈两个卡农口都有异响
会在24年1月发给Jerome维修</t>
  </si>
  <si>
    <t>2023.7 反馈两个卡农口都有异响 
2023.12 客户会在1月份将机器寄给Jerome维修
2023.12.28 已准备好返修配件，待发出；
24.1.8 发出返修配件（XLR口*1，back板Gafpa有）；</t>
  </si>
  <si>
    <t>RA080-01006</t>
  </si>
  <si>
    <t>配件待寄回,经销商维修中</t>
  </si>
  <si>
    <t>需升级前部</t>
  </si>
  <si>
    <t>24.1.5 客户已经购买电子E卡口，需要升级前部</t>
  </si>
  <si>
    <t>898A-EC8A</t>
  </si>
  <si>
    <t>RA080-01004</t>
  </si>
  <si>
    <t>配件待寄回</t>
  </si>
  <si>
    <t>24.1.5 机器有灰尘，需要准备前部
24.2.20 返修已完成，配件待寄回</t>
  </si>
  <si>
    <t>B254-6BA8</t>
  </si>
  <si>
    <t>会发前部过去，建议他们自行尝试更换
23.12.8 已发出
23.12.19 PAV: 确认已收到，尚未开始处理
24.1.11 询问维修进度，已完成，寄回给Jerome
24.2.20 维修配件寄回中</t>
  </si>
  <si>
    <t>RMA 5967（Jerome）</t>
  </si>
  <si>
    <t>5D10-5ED7</t>
  </si>
  <si>
    <t>RMA 5967</t>
  </si>
  <si>
    <t>RA510-01002</t>
  </si>
  <si>
    <t>经销商维修中</t>
  </si>
  <si>
    <t>5U2，屏幕上有明显坏点</t>
  </si>
  <si>
    <t>2024.1.27 反馈问题，提供视频
2024.2.2 寄出更换5U2给经销商</t>
  </si>
  <si>
    <t>Marcus</t>
  </si>
  <si>
    <t>RA080-01003</t>
  </si>
  <si>
    <t>23.12.29 前部已收到
24.1.11 没有提供新的前脸外壳，得重新发一下
24.1.29 前部已寄回
24.1.29 碳纤维外壳已发出</t>
  </si>
  <si>
    <t>返修完成</t>
  </si>
  <si>
    <t>Visuals的PLND，ND偏色问题</t>
  </si>
  <si>
    <t>24.2.1 收到PLND
24.2.20 已修好，待确认费用后寄出；
24.2.27 收取维修费用，已发出</t>
  </si>
  <si>
    <t>RA080-01005</t>
  </si>
  <si>
    <t>Edge 8K（588A-67EA），ND灰尘问题</t>
  </si>
  <si>
    <t>2023.12.29 已准备好前部，待发出；
24.1.8 等第一批ND更换完成寄回后，发出新一批；
24.1.29 前部已发出
24.2.29 已收到返修寄回前部</t>
  </si>
  <si>
    <t>588A-67EA</t>
  </si>
  <si>
    <t>Edge 6K - ME206502
灰尘问题，需要更换前部</t>
  </si>
  <si>
    <t>23.12.18 前部已准备好
23.12.21 前部已发出
24.1.5 前部已收到
24.2.23 返修已完成，待寄回前部
24.2.29 配件已寄回</t>
  </si>
  <si>
    <t>Jerome返修</t>
  </si>
  <si>
    <t>ME206502</t>
  </si>
  <si>
    <t>Repair PI&amp;Front Part Replacement Instruction</t>
  </si>
  <si>
    <t>RA080-01002</t>
  </si>
  <si>
    <t>2023.12.29 已准备好前部，24.1.5 已发出；
24.1.8 PAV直接将机器寄回了
24.1.12 返修完成，下周和PAV订单一起发出
24.2.20 配件寄回中
24.2.28 配件已寄回</t>
  </si>
  <si>
    <t>RMA 6047</t>
  </si>
  <si>
    <t>36A0-B2B8</t>
  </si>
  <si>
    <t>需要更换前部适配原生卡口</t>
  </si>
  <si>
    <t>23.11.27 PAV收到Gafpa寄去的机器；
发深圳处理；
23.12.4 PAV发回该Edge 8K
23.12.11 深圳收到该机器，处理中
23.12.21 机器已寄回Gafpa
24.1.8 收到机器，但发现OLPF未更换
24.1.8 寄出OLPF给经销商自行更换</t>
  </si>
  <si>
    <t>RMA 5968（Jerome）</t>
  </si>
  <si>
    <t>Return(Nicola)</t>
  </si>
  <si>
    <t>6832-F6B6</t>
  </si>
  <si>
    <t>RMA 5968</t>
  </si>
  <si>
    <t>Visuals的Edge 8K，无法开机</t>
  </si>
  <si>
    <t>2024.1.19 收到机器，确认为back板问题
2024.1.24 已修好，待寄出；
2024.2.1 确认维修运费支付，已寄出</t>
  </si>
  <si>
    <t>RA070-01001</t>
  </si>
  <si>
    <t>MAVO LF</t>
  </si>
  <si>
    <t>MAVO LF固件为6503，但菜单界面和固件不匹配，【About】界面显示机器型号为Kinemini</t>
  </si>
  <si>
    <t>24.1.10 MAVO LF固件为6503，但菜单界面和固件不匹配，【About】界面显示机器型号为Kinemini
24.1.30 收到客户寄回机器
24.2.2 确认维修情况，给客户寄出机器</t>
  </si>
  <si>
    <t>RA090-01004</t>
  </si>
  <si>
    <t>机器有灰尘，卡农口输出有底噪</t>
  </si>
  <si>
    <t>24.1.3 机器有灰尘，卡农口输出有底噪
24.1.5 提供音频文件，深圳反馈确实有底噪，但有可能是设置的原因，需要再测试一下
24.2.26 更换back版后噪音消失</t>
  </si>
  <si>
    <t>7ae8-35B5</t>
  </si>
  <si>
    <t>Edge 8K - 6823-7FD6
灰尘问题，需要更换前部</t>
  </si>
  <si>
    <t>23.12.18 前部已准备好
23.12.21 前部已发出
24.1.5 前部已收到
24.1.19 Jerome确认返修完成，前部待寄回
24.1.29 前部已寄回</t>
  </si>
  <si>
    <t>6823-7FD6</t>
  </si>
  <si>
    <t>机器无法开机，电源指示灯/监视器均无显示；电池/电源线供电均无法开机</t>
  </si>
  <si>
    <t>2023.12.28 已准备好返修配件，待发出；
24.1.8 配件已寄出
24.1.19 Jerome确认返修完成；Back板之后寄回
24.1.29 Back板已寄回</t>
  </si>
  <si>
    <t>mm2_104303</t>
  </si>
  <si>
    <t>RA080-01001</t>
  </si>
  <si>
    <t>Mavo edge 8K SN: DF32-AB6C，两个Video口输出均有问题；只能显示logo</t>
  </si>
  <si>
    <t>23.11.27 PAV收到Gafpa寄去的机器；
23.11.30 建议自行更换HDA板；
23.12.7 更换HDA板，仍无输出；
23.12.8 建议尝试更换两个Video口；
23.12.19 PAV: 更换了两个Video口，仍无输出，是否可以寄回处理；
23.12.20 PAV: 确认排线都连接好；确认需要寄回
23.12.21 PAV: 需要节后寄回
24.1.12 返修完成，下周和PAV订单一起发出</t>
  </si>
  <si>
    <t>RMA 5965（Jerome）</t>
  </si>
  <si>
    <t>0F32-AB6C</t>
  </si>
  <si>
    <t>RMA 5965</t>
  </si>
  <si>
    <t>23.12.29 前部已收到，已完成返修</t>
  </si>
  <si>
    <t>23.11.27 PAV收到Gafpa寄去的机器；
会发前部过去，建议他们自行尝试更换
23.12.1 前部已发出
23.12.7 前部已收到
23.12.12 前部更换顺利，还需要更换SDI
23.12.20 询问进度，PAV告知未开始更换SDI
24.1.11 询问维修进度，已完成，寄回给Jerome</t>
  </si>
  <si>
    <t>RMA 5964（Jerome）</t>
  </si>
  <si>
    <t xml:space="preserve"> BOBA-4993</t>
  </si>
  <si>
    <t>RMA 5964</t>
  </si>
  <si>
    <t>客户Fabien，机器MC反复坏了好几次，需要维修MC</t>
  </si>
  <si>
    <t>2023.10.26 客户遇到无法红色竖线问题；向Jerome反馈；
2023.11.27 PAV收到机器，估计为MC损坏，需要寄回处理；
2023.12.10 PAV寄出机器
2023.12.14 深圳收到机器，处理中
2023.12.19 和PAV沟通，下周寄出，他们节后收到
2023.12.21 更换MC，稳定性测试中
24.1.5 机器寄出
24.1.10 PAV收到机器</t>
  </si>
  <si>
    <t>T4 MC问题（Jerome）</t>
  </si>
  <si>
    <t>Repair | TERRA 4K - 01B9-8367</t>
  </si>
  <si>
    <t xml:space="preserve">
23.11.26 客户反馈机器维修后无法正常开机，尝试多次开机，其中大部分时间卡在logo处；深圳认为需要更换MC，经销商无法处理，需要返厂</t>
  </si>
  <si>
    <t>机器监看输出有问题；深圳更换主板后寄回
23.11.29 客户不愿意再寄回返修，推荐客户进行置换
23.12.7 客户不想置换，要再寄回维修，本次维修不额外收费
23.12.14 深圳收到机器，处理中
23.12.19 和PAV确认，他们节假日不方便收货，在12月最后一周（12.27号左右）寄出
23.12.21 深圳反馈，经过多次测试，未复现无法开机现象
23.1.5  和经销商/客户沟通，换了一台官翻机寄回
24.1.5 机器寄出
24.1.10 PAV收到机器</t>
  </si>
  <si>
    <t xml:space="preserve"> RMA 5443</t>
  </si>
  <si>
    <t>RMA
 5443</t>
  </si>
  <si>
    <t>5U2，开机后闪屏，有时显示一会儿会直接卡死</t>
  </si>
  <si>
    <t>建议尝试自行更换板子
23.12.12 确认完成维修。</t>
  </si>
  <si>
    <t>RMA 5948</t>
  </si>
  <si>
    <t>电子E，se4_102009，有适配问题，需要更换；PAV发了一个给Jerome，该问题电子E发回</t>
  </si>
  <si>
    <t>23.12.4 已给PAV发送更换的电子E；
23.12.4 PAV发回问题电子E；
23.12.10 深圳检测，该电子E未出现反馈问题，已作为C货入库</t>
  </si>
  <si>
    <t>RMA 5963（Jerome）</t>
  </si>
  <si>
    <t>se4_102009</t>
  </si>
  <si>
    <t>RMA 5963</t>
  </si>
  <si>
    <t>MM2_103215，各种供电方式都无法开机</t>
  </si>
  <si>
    <t>给他们发了板子，建议自己处理；跟进中
23.12.12 确认完成维修。</t>
  </si>
  <si>
    <t>RMA 5924</t>
  </si>
  <si>
    <t>RMA 5589</t>
  </si>
  <si>
    <t>MAVO LF锁紧问题</t>
  </si>
  <si>
    <t>23.10.9 PAV反馈遇到MAVO LF锁紧环组装问题；
23.10.19 PAV确认无法自行解决，询问是否能寄回
23.11.10 PAV寄出机器
23.11.15 深圳收到机器 
23.11.23 返修完成
23.11.23 发出返修机器</t>
  </si>
  <si>
    <t>CF39-F708</t>
  </si>
  <si>
    <t>RMA 5831</t>
  </si>
  <si>
    <t>无法开机，更换back板后仍未解决</t>
  </si>
  <si>
    <t>23.11.27 PAV收到Gafpa寄去的机器；
23.12.4 PAV发回该Edge 8K
23.12.11 深圳收到该机器，处理中
23.12.15 问题为Jerome更换Back板过程中没有连接好按键板
23.12.21 机器已寄回Gafpa</t>
  </si>
  <si>
    <t>RMA 5966（Jerome）</t>
  </si>
  <si>
    <t>A8FA-9317</t>
  </si>
  <si>
    <t>RMA 5966</t>
  </si>
  <si>
    <t>Edge 8K无法开机</t>
  </si>
  <si>
    <t>2023.12.21 问题已经解决，尚未确认是更换了Back板还是其他方式</t>
  </si>
  <si>
    <t>客户今年买的KB99无法正常充放电</t>
  </si>
  <si>
    <t>从PAV库里的99电池出了1个客户更换</t>
  </si>
  <si>
    <t>RMA 5647</t>
  </si>
  <si>
    <t>MAVO LF，客户Ondrej需要自行更换OLPF，需要垫片</t>
  </si>
  <si>
    <t>23.11.23 提供0.1mm垫片*5</t>
  </si>
  <si>
    <t xml:space="preserve">
Re: 回复：help - MAVO LF - kinemount shims</t>
  </si>
  <si>
    <t>Edge
 6K灰尘问题</t>
  </si>
  <si>
    <t>23.10.18 PAV反馈出现Edge 6K灰尘问题，询问能否寄回返修
23.11.10 PAV寄出机器
23.11.15 深圳收到机器 
23.11.23 返修完成
23.11.23 发出返修机器</t>
  </si>
  <si>
    <t>21FC-C225</t>
  </si>
  <si>
    <t>Apodax先把Edge 6K样机和配件退给PAV，然后我们和PAV再沟通如何处理</t>
  </si>
  <si>
    <t>Apodax退货退款</t>
  </si>
  <si>
    <t>Re: Kinefinity×ProAV Regular Meeting_2023.11.22</t>
  </si>
  <si>
    <t>机型分类</t>
  </si>
  <si>
    <t>-</t>
  </si>
  <si>
    <t>渠道分组</t>
  </si>
  <si>
    <t>年份</t>
  </si>
  <si>
    <t>流水号</t>
  </si>
  <si>
    <t>RAxxxxxx</t>
  </si>
  <si>
    <t>yy</t>
  </si>
  <si>
    <t>YY</t>
  </si>
  <si>
    <t>zzz</t>
  </si>
  <si>
    <t>RA010004</t>
  </si>
  <si>
    <t>01</t>
  </si>
  <si>
    <t>001</t>
  </si>
  <si>
    <t>MAVO mark2 S35</t>
  </si>
  <si>
    <t>国内散户</t>
  </si>
  <si>
    <t>24年</t>
  </si>
  <si>
    <t>第一台问题机器反馈</t>
  </si>
  <si>
    <t>示例2</t>
  </si>
  <si>
    <t>RA510-11001</t>
  </si>
  <si>
    <t>国内经销商，配件售后，24年第一例</t>
  </si>
  <si>
    <t>示例3</t>
  </si>
  <si>
    <t>RA090-02005</t>
  </si>
  <si>
    <t>国外散户，Edge 6K售后，24年第五例</t>
  </si>
  <si>
    <t>产品类型</t>
  </si>
  <si>
    <t>产品名称</t>
  </si>
  <si>
    <t>RA分组</t>
  </si>
  <si>
    <t>渠道分类</t>
  </si>
  <si>
    <t>编号</t>
  </si>
  <si>
    <t>摄影机</t>
  </si>
  <si>
    <t>MC8020</t>
  </si>
  <si>
    <t>RA020001</t>
  </si>
  <si>
    <t>国内经销商</t>
  </si>
  <si>
    <t>02</t>
  </si>
  <si>
    <t>RA010003</t>
  </si>
  <si>
    <t>国外散户</t>
  </si>
  <si>
    <t>RA010002</t>
  </si>
  <si>
    <t>国外经销商</t>
  </si>
  <si>
    <t>RA010001</t>
  </si>
  <si>
    <t>RA000006</t>
  </si>
  <si>
    <t>MAVO</t>
  </si>
  <si>
    <t>RA000005</t>
  </si>
  <si>
    <t>Terra 4K</t>
  </si>
  <si>
    <t>RA000004</t>
  </si>
  <si>
    <t>Terra 6K</t>
  </si>
  <si>
    <t>RA000003</t>
  </si>
  <si>
    <t>KineMAX 6K</t>
  </si>
  <si>
    <t>RA000002</t>
  </si>
  <si>
    <t>KineMINI 4K</t>
  </si>
  <si>
    <t>RA000001</t>
  </si>
  <si>
    <t>KineRAW-MINI</t>
  </si>
  <si>
    <t>RA000000</t>
  </si>
  <si>
    <t>KineRAW-S35</t>
  </si>
  <si>
    <t>监视器</t>
  </si>
  <si>
    <t>KineMON-5U2</t>
  </si>
  <si>
    <t>RA120001</t>
  </si>
  <si>
    <t>KineMON-7U2</t>
  </si>
  <si>
    <t>RA120002</t>
  </si>
  <si>
    <t>KineEVF2</t>
  </si>
  <si>
    <t>RA120003</t>
  </si>
  <si>
    <t>老款监看产品</t>
  </si>
  <si>
    <t>RA100001</t>
  </si>
  <si>
    <t>卡口</t>
  </si>
  <si>
    <t>RA010001-12-24004</t>
  </si>
  <si>
    <t>存储</t>
  </si>
  <si>
    <t>RA510-11-24001</t>
  </si>
  <si>
    <t>SKU关联分类</t>
  </si>
  <si>
    <t>2023年12月1日 方发货：Nick Millen 鹏凯飞自提（单号待更新）</t>
  </si>
  <si>
    <t>2023年10月25日 方发货：Akscine LLC 鹏凯飞自提（单号待更新）</t>
  </si>
  <si>
    <t>MC _V31*2</t>
  </si>
  <si>
    <t>KDO24qufma069*2</t>
  </si>
  <si>
    <t>上接video_top_fpc_v2下接video_bot_fpc_v2*2</t>
  </si>
  <si>
    <t>sdi_v21a+sdi_stf_v3*4</t>
  </si>
  <si>
    <t>mport_USB_V3*2</t>
  </si>
  <si>
    <t>MF60151VX-1000C-G99*2</t>
  </si>
  <si>
    <t>mport_bot*2</t>
  </si>
  <si>
    <t>HDA_V32*2</t>
  </si>
  <si>
    <t>BACK_V32*2</t>
  </si>
  <si>
    <t>SBACK_V1*2</t>
  </si>
  <si>
    <t>EKEY_V21*2</t>
  </si>
  <si>
    <t>SEKEY_V1*2</t>
  </si>
  <si>
    <r>
      <rPr>
        <color rgb="FF267EF0"/>
        <u val="none"/>
      </rPr>
      <t>国外返修流程</t>
    </r>
  </si>
  <si>
    <r>
      <rPr>
        <color rgb="FF267EF0"/>
        <u val="none"/>
      </rPr>
      <t>维修配件SKU&amp;价格单</t>
    </r>
  </si>
  <si>
    <r>
      <rPr>
        <color rgb="FF267EF0"/>
        <u val="none"/>
      </rPr>
      <t>返修产品状态</t>
    </r>
  </si>
  <si>
    <r>
      <rPr>
        <b val="false"/>
        <i val="false"/>
        <strike val="false"/>
        <color rgb="FF267EF0"/>
        <sz val="10"/>
      </rPr>
      <t>repair invoice_template.xlsx</t>
    </r>
  </si>
  <si>
    <r>
      <rPr>
        <color rgb="FF267EF0"/>
        <u val="none"/>
      </rPr>
      <t>售后问题反馈</t>
    </r>
  </si>
  <si>
    <r>
      <rPr>
        <rFont val="微软雅黑"/>
        <b val="false"/>
        <i val="false"/>
        <strike val="false"/>
        <color rgb="FF000000"/>
        <sz val="10"/>
        <u val="none"/>
      </rPr>
      <t>直接通过Kinefinity付款</t>
    </r>
    <r>
      <rPr>
        <rFont val="微软雅黑"/>
        <b val="false"/>
        <i val="false"/>
        <strike val="false"/>
        <color rgb="FFC00000"/>
        <sz val="10"/>
        <u val="none"/>
      </rPr>
      <t xml:space="preserve">
需要和sherry确认账户、付款后需要和sherry确认到账</t>
    </r>
    <r>
      <rPr>
        <rFont val="微软雅黑"/>
        <b val="false"/>
        <i val="false"/>
        <strike val="false"/>
        <color rgb="FF000000"/>
        <sz val="10"/>
        <u val="none"/>
      </rPr>
      <t xml:space="preserve">
PayPal：</t>
    </r>
    <r>
      <rPr>
        <rFont val="微软雅黑"/>
        <b val="false"/>
        <i val="false"/>
        <strike val="false"/>
        <color rgb="FF267EF0"/>
        <sz val="10"/>
        <u/>
      </rPr>
      <t>sales@kinefinity.com</t>
    </r>
    <r>
      <rPr>
        <rFont val="微软雅黑"/>
        <b val="false"/>
        <i val="false"/>
        <strike val="false"/>
        <color rgb="FF000000"/>
        <sz val="10"/>
        <u val="none"/>
      </rPr>
      <t xml:space="preserve">
官网Special</t>
    </r>
    <r>
      <rPr>
        <rFont val="微软雅黑"/>
        <b val="false"/>
        <i val="false"/>
        <strike val="false"/>
        <color rgb="FF000000"/>
        <sz val="10"/>
        <u val="none"/>
      </rPr>
      <t xml:space="preserve"> Payment：</t>
    </r>
    <r>
      <rPr>
        <rFont val="微软雅黑"/>
        <b val="false"/>
        <i val="false"/>
        <strike val="false"/>
        <color rgb="FF267EF0"/>
        <sz val="10"/>
        <u/>
      </rPr>
      <t>http://www.kinefinity.com/en/shop/spare/</t>
    </r>
  </si>
  <si>
    <r>
      <rPr>
        <rFont val="微软雅黑"/>
        <b val="false"/>
        <i val="false"/>
        <strike val="false"/>
        <color rgb="FF175CEB"/>
        <sz val="10"/>
        <u/>
      </rPr>
      <t>Returns@proav.co.uk</t>
    </r>
  </si>
  <si>
    <r>
      <rPr>
        <color rgb="FF267EF0"/>
        <u/>
      </rPr>
      <t>info@gafpagear.com</t>
    </r>
  </si>
  <si>
    <r>
      <rPr>
        <color rgb="FF267EF0"/>
        <u/>
      </rPr>
      <t>leon.gun@kinefinity.com</t>
    </r>
  </si>
  <si>
    <r>
      <rPr>
        <color rgb="FF267EF0"/>
        <u/>
      </rPr>
      <t>m.cascone@1sourcevideo.com</t>
    </r>
  </si>
  <si>
    <r>
      <rPr>
        <color rgb="FF267EF0"/>
        <u/>
      </rPr>
      <t>dong@cinetx.com</t>
    </r>
  </si>
  <si>
    <r>
      <rPr>
        <color rgb="FF267EF0"/>
        <u/>
      </rPr>
      <t>support@kinefinity.com</t>
    </r>
  </si>
  <si>
    <r>
      <rPr>
        <color rgb="FF267EF0"/>
        <u/>
      </rPr>
      <t>ericyeong@gmail.com</t>
    </r>
  </si>
  <si>
    <r>
      <rPr>
        <rFont val="微软雅黑"/>
        <b val="false"/>
        <i val="false"/>
        <strike val="false"/>
        <color rgb="FF000000"/>
        <sz val="10"/>
        <u val="none"/>
      </rPr>
      <t>5芯 Lens口*1</t>
    </r>
  </si>
  <si>
    <r>
      <rPr>
        <rFont val="微软雅黑"/>
        <b val="false"/>
        <i val="false"/>
        <strike val="false"/>
        <color rgb="FF000000"/>
        <sz val="10"/>
        <u val="none"/>
      </rPr>
      <t>卡农口盖子*1</t>
    </r>
  </si>
  <si>
    <r>
      <rPr>
        <rFont val="微软雅黑"/>
        <b val="false"/>
        <i val="false"/>
        <strike val="false"/>
        <color rgb="FF000000"/>
        <sz val="10"/>
        <u val="none"/>
      </rPr>
      <t>卡农口*2</t>
    </r>
  </si>
  <si>
    <r>
      <rPr>
        <rFont val="微软雅黑"/>
        <b val="false"/>
        <i val="false"/>
        <strike val="false"/>
        <color rgb="FF000000"/>
        <sz val="10"/>
        <u val="none"/>
      </rPr>
      <t>mini3P_V21*4</t>
    </r>
  </si>
  <si>
    <r>
      <rPr>
        <rFont val="微软雅黑"/>
        <b val="false"/>
        <i val="false"/>
        <strike val="false"/>
        <color rgb="FF000000"/>
        <sz val="10"/>
        <u val="none"/>
      </rPr>
      <t>7代i3*3</t>
    </r>
  </si>
  <si>
    <r>
      <rPr>
        <rFont val="微软雅黑"/>
        <b val="false"/>
        <i val="false"/>
        <strike val="false"/>
        <color rgb="FF000000"/>
        <sz val="10"/>
        <u val="none"/>
      </rPr>
      <t>mini3_V1.4*2</t>
    </r>
  </si>
  <si>
    <r>
      <rPr>
        <rFont val="微软雅黑"/>
        <b val="false"/>
        <i val="false"/>
        <strike val="false"/>
        <color rgb="FF000000"/>
        <sz val="10"/>
        <u val="none"/>
      </rPr>
      <t>K5sata_V1.1*2</t>
    </r>
  </si>
  <si>
    <r>
      <rPr>
        <rFont val="微软雅黑"/>
        <b val="false"/>
        <i val="false"/>
        <strike val="false"/>
        <color rgb="FF000000"/>
        <sz val="10"/>
        <u val="none"/>
      </rPr>
      <t>FPC_B1153A_V01*2</t>
    </r>
  </si>
  <si>
    <r>
      <rPr>
        <rFont val="微软雅黑"/>
        <b val="false"/>
        <i val="false"/>
        <strike val="false"/>
        <color rgb="FF000000"/>
        <sz val="10"/>
        <u val="none"/>
      </rPr>
      <t>2023年12月21日 方发货：Gafpa</t>
    </r>
  </si>
  <si>
    <r>
      <rPr>
        <rFont val="微软雅黑"/>
        <b val="false"/>
        <i val="false"/>
        <strike val="false"/>
        <color rgb="FF000000"/>
        <sz val="10"/>
        <u val="none"/>
      </rPr>
      <t>Edge 8K前部*1 （6823-7FD6</t>
    </r>
  </si>
  <si>
    <r>
      <rPr>
        <rFont val="微软雅黑"/>
        <b val="false"/>
        <i val="false"/>
        <strike val="false"/>
        <color rgb="FF000000"/>
        <sz val="10"/>
        <u val="none"/>
      </rPr>
      <t>+KM4_102009）</t>
    </r>
  </si>
  <si>
    <r>
      <rPr>
        <rFont val="微软雅黑"/>
        <b val="false"/>
        <i val="false"/>
        <strike val="false"/>
        <color rgb="FF000000"/>
        <sz val="10"/>
        <u val="none"/>
      </rPr>
      <t>Edge 6K前部*1 （ME_206502）</t>
    </r>
  </si>
  <si>
    <r>
      <rPr>
        <rFont val="微软雅黑"/>
        <b val="false"/>
        <i val="false"/>
        <strike val="false"/>
        <color rgb="FF000000"/>
        <sz val="10"/>
        <u val="none"/>
      </rPr>
      <t>卡体螺丝*20</t>
    </r>
  </si>
  <si>
    <r>
      <rPr>
        <rFont val="微软雅黑"/>
        <b val="true"/>
        <i val="false"/>
        <strike val="false"/>
        <color rgb="FF000000"/>
        <sz val="10"/>
        <u val="none"/>
      </rPr>
      <t>1. 更新Edge知识库：</t>
    </r>
    <r>
      <rPr>
        <rFont val=""/>
        <b val="false"/>
        <i val="false"/>
        <strike val="false"/>
        <color rgb="FF000000"/>
        <sz val="10"/>
        <u val="none"/>
      </rPr>
      <t>根据对Edge/mark2返修记录的汇总和分析，更新Edge知识库；形成完善的维修指南，尽量每种现象都有对应的维修方案（然后用Chat更新英文版）；
2. 可以节省沟通成本和问题误判的可能；
3. 后续所有经销商都可以通用；</t>
    </r>
  </si>
  <si>
    <r>
      <rPr>
        <rFont val=""/>
        <b val="false"/>
        <i val="false"/>
        <strike val="false"/>
        <color rgb="FF000000"/>
        <sz val="10"/>
        <u val="none"/>
      </rPr>
      <t>实际尝试通过更换前部清灰时发现，无法提前给经销商准备前部：
1. 需要提供序列号，才能确认前部对应版本；
2. 需要深圳将机器序列号刷到对应前部中，否则UI显示会出错；</t>
    </r>
  </si>
  <si>
    <r>
      <rPr>
        <rFont val=""/>
        <b val="false"/>
        <i val="false"/>
        <strike val="false"/>
        <color rgb="FF000000"/>
        <sz val="10"/>
        <u val="none"/>
      </rPr>
      <t>希望</t>
    </r>
    <r>
      <rPr>
        <rFont val="微软雅黑"/>
        <b val="true"/>
        <i val="false"/>
        <strike val="false"/>
        <color rgb="FF000000"/>
        <sz val="10"/>
        <u val="none"/>
      </rPr>
      <t>SaaS售后模块</t>
    </r>
    <r>
      <rPr>
        <rFont val=""/>
        <b val="false"/>
        <i val="false"/>
        <strike val="false"/>
        <color rgb="FF000000"/>
        <sz val="10"/>
        <u val="none"/>
      </rPr>
      <t>能投入使用，理想情况下可以直接在SaaS中记录经销商备件使用情况</t>
    </r>
  </si>
  <si>
    <r>
      <rPr>
        <rFont val=""/>
        <b val="false"/>
        <i val="false"/>
        <strike val="false"/>
        <color rgb="FF000000"/>
        <sz val="10"/>
        <u val="none"/>
      </rPr>
      <t>ND灰尘问题</t>
    </r>
  </si>
  <si>
    <r>
      <rPr>
        <rFont val=""/>
        <b val="false"/>
        <i val="false"/>
        <strike val="false"/>
        <color rgb="FF000000"/>
        <sz val="10"/>
        <u val="none"/>
      </rPr>
      <t>N/A</t>
    </r>
  </si>
  <si>
    <r>
      <rPr>
        <rFont val="微软雅黑"/>
        <b val="false"/>
        <i val="false"/>
        <strike val="false"/>
        <color rgb="FF000000"/>
        <sz val="10"/>
        <u val="none"/>
      </rPr>
      <t>2023年11月3日 方发货：ProAV</t>
    </r>
  </si>
  <si>
    <r>
      <rPr>
        <rFont val="微软雅黑"/>
        <b val="false"/>
        <i val="false"/>
        <strike val="false"/>
        <color rgb="FF000000"/>
        <sz val="10"/>
        <u val="none"/>
      </rPr>
      <t>MC8_V31*3</t>
    </r>
  </si>
  <si>
    <r>
      <rPr>
        <rFont val="微软雅黑"/>
        <b val="false"/>
        <i val="false"/>
        <strike val="false"/>
        <color rgb="FF000000"/>
        <sz val="10"/>
        <u val="none"/>
      </rPr>
      <t>KDO24qufma069*3</t>
    </r>
  </si>
  <si>
    <r>
      <rPr>
        <rFont val="微软雅黑"/>
        <b val="false"/>
        <i val="false"/>
        <strike val="false"/>
        <color rgb="FF000000"/>
        <sz val="10"/>
        <u val="none"/>
      </rPr>
      <t>上接video_top_fpc_v2 / 下接video_bot_fpc_v2*3</t>
    </r>
  </si>
  <si>
    <r>
      <rPr>
        <rFont val="微软雅黑"/>
        <b val="false"/>
        <i val="false"/>
        <strike val="false"/>
        <color rgb="FF000000"/>
        <sz val="10"/>
        <u val="none"/>
      </rPr>
      <t>sdi_v21a+sdi_stf_v3*4</t>
    </r>
  </si>
  <si>
    <r>
      <rPr>
        <rFont val="微软雅黑"/>
        <b val="false"/>
        <i val="false"/>
        <strike val="false"/>
        <color rgb="FF000000"/>
        <sz val="10"/>
        <u val="none"/>
      </rPr>
      <t>mport_USB_V3*3</t>
    </r>
  </si>
  <si>
    <r>
      <rPr>
        <rFont val="微软雅黑"/>
        <b val="false"/>
        <i val="false"/>
        <strike val="false"/>
        <color rgb="FF000000"/>
        <sz val="10"/>
        <u val="none"/>
      </rPr>
      <t>MF60151VX-1000C-G99*2</t>
    </r>
  </si>
  <si>
    <r>
      <rPr>
        <rFont val="微软雅黑"/>
        <b val="false"/>
        <i val="false"/>
        <strike val="false"/>
        <color rgb="FF000000"/>
        <sz val="10"/>
        <u val="none"/>
      </rPr>
      <t>mport_bot*2</t>
    </r>
  </si>
  <si>
    <r>
      <rPr>
        <rFont val="微软雅黑"/>
        <b val="false"/>
        <i val="false"/>
        <strike val="false"/>
        <color rgb="FF000000"/>
        <sz val="10"/>
        <u val="none"/>
      </rPr>
      <t>HDA_V32*2</t>
    </r>
  </si>
  <si>
    <r>
      <rPr>
        <rFont val="微软雅黑"/>
        <b val="false"/>
        <i val="false"/>
        <strike val="false"/>
        <color rgb="FF000000"/>
        <sz val="10"/>
        <u val="none"/>
      </rPr>
      <t>BACK_V32*3</t>
    </r>
  </si>
  <si>
    <r>
      <rPr>
        <rFont val="微软雅黑"/>
        <b val="false"/>
        <i val="false"/>
        <strike val="false"/>
        <color rgb="FF000000"/>
        <sz val="10"/>
        <u val="none"/>
      </rPr>
      <t>SBACK_V1*3</t>
    </r>
  </si>
  <si>
    <r>
      <rPr>
        <rFont val="微软雅黑"/>
        <b val="false"/>
        <i val="false"/>
        <strike val="false"/>
        <color rgb="FF000000"/>
        <sz val="10"/>
        <u val="none"/>
      </rPr>
      <t>EKEY_V21*2</t>
    </r>
  </si>
  <si>
    <r>
      <rPr>
        <rFont val="微软雅黑"/>
        <b val="false"/>
        <i val="false"/>
        <strike val="false"/>
        <color rgb="FF000000"/>
        <sz val="10"/>
        <u val="none"/>
      </rPr>
      <t>SEKEY_V1*2</t>
    </r>
  </si>
  <si>
    <r>
      <rPr>
        <rFont val="微软雅黑"/>
        <b val="false"/>
        <i val="false"/>
        <strike val="false"/>
        <color rgb="FF000000"/>
        <sz val="10"/>
        <u val="none"/>
      </rPr>
      <t>2023年12月8日 方发货：ProAV 鹏凯飞自提</t>
    </r>
  </si>
  <si>
    <r>
      <rPr>
        <rFont val="微软雅黑"/>
        <b val="false"/>
        <i val="false"/>
        <strike val="false"/>
        <color rgb="FF000000"/>
        <sz val="10"/>
        <u val="none"/>
      </rPr>
      <t>Edge 8K前部*1（ 5D10-5ED7+KM4_102006）</t>
    </r>
  </si>
  <si>
    <r>
      <rPr>
        <rFont val="微软雅黑"/>
        <b val="false"/>
        <i val="false"/>
        <strike val="false"/>
        <color rgb="FF000000"/>
        <sz val="10"/>
        <u val="none"/>
      </rPr>
      <t>MAVO LF机身0.1mm垫片*5</t>
    </r>
  </si>
  <si>
    <r>
      <rPr>
        <rFont val="微软雅黑"/>
        <b val="false"/>
        <i val="false"/>
        <strike val="false"/>
        <color rgb="FF000000"/>
        <sz val="10"/>
        <u val="none"/>
      </rPr>
      <t>Edge 6K前部*1（KM4_101003）</t>
    </r>
  </si>
  <si>
    <r>
      <rPr>
        <rFont val="微软雅黑"/>
        <b val="false"/>
        <i val="false"/>
        <strike val="false"/>
        <color rgb="FF000000"/>
        <sz val="10"/>
        <u val="none"/>
      </rPr>
      <t>2023年10月19日 方发货：ProAV 鹏凯飞自提</t>
    </r>
  </si>
  <si>
    <r>
      <rPr>
        <rFont val="微软雅黑"/>
        <b val="false"/>
        <i val="false"/>
        <strike val="false"/>
        <color rgb="FF000000"/>
        <sz val="10"/>
        <u val="none"/>
      </rPr>
      <t>5U pcb模组*1</t>
    </r>
  </si>
  <si>
    <r>
      <rPr>
        <rFont val="微软雅黑"/>
        <b val="false"/>
        <i val="false"/>
        <strike val="false"/>
        <color rgb="FF000000"/>
        <sz val="10"/>
        <u val="none"/>
      </rPr>
      <t>2023年12月14日 方发货：Cinetx 鹏凯飞自提（单号待更新）</t>
    </r>
  </si>
  <si>
    <r>
      <rPr>
        <rFont val="微软雅黑"/>
        <b val="false"/>
        <i val="false"/>
        <strike val="false"/>
        <color rgb="FF000000"/>
        <sz val="10"/>
        <u val="none"/>
      </rPr>
      <t>E8K前部*1（BC69-D62B+KM4_102001）</t>
    </r>
  </si>
  <si>
    <r>
      <rPr>
        <rFont val="微软雅黑"/>
        <b val="false"/>
        <i val="false"/>
        <strike val="false"/>
        <color rgb="FF000000"/>
        <sz val="10"/>
        <u val="none"/>
      </rPr>
      <t>E6K前部*1 （8136-3264+KM4_102015）</t>
    </r>
  </si>
  <si>
    <r>
      <rPr>
        <rFont val="微软雅黑"/>
        <b val="false"/>
        <i val="false"/>
        <strike val="false"/>
        <color rgb="FF000000"/>
        <sz val="10"/>
        <u val="none"/>
      </rPr>
      <t>USB-C/3.5mm麦克风小板*1</t>
    </r>
  </si>
  <si>
    <r>
      <rPr>
        <rFont val="微软雅黑"/>
        <b val="false"/>
        <i val="false"/>
        <strike val="false"/>
        <color rgb="FF000000"/>
        <sz val="10"/>
        <u val="none"/>
      </rPr>
      <t>Taco 八爪鱼*1</t>
    </r>
  </si>
  <si>
    <r>
      <rPr>
        <rFont val="微软雅黑"/>
        <b val="false"/>
        <i val="false"/>
        <strike val="false"/>
        <color rgb="FF000000"/>
        <sz val="10"/>
        <u val="none"/>
      </rPr>
      <t>back_v32*2</t>
    </r>
  </si>
  <si>
    <r>
      <rPr>
        <rFont val="微软雅黑"/>
        <b val="false"/>
        <i val="false"/>
        <strike val="false"/>
        <color rgb="FF000000"/>
        <sz val="10"/>
        <u val="none"/>
      </rPr>
      <t>hda_v22*1</t>
    </r>
  </si>
</sst>
</file>

<file path=xl/styles.xml><?xml version="1.0" encoding="utf-8"?>
<styleSheet xmlns="http://schemas.openxmlformats.org/spreadsheetml/2006/main">
  <numFmts count="3">
    <numFmt numFmtId="300" formatCode="yyyy&quot;年&quot;m&quot;月&quot;d&quot;日&quot;;@"/>
    <numFmt numFmtId="301" formatCode="yyyy&quot;.&quot;m&quot;.&quot;d"/>
    <numFmt numFmtId="302" formatCode="0_);[Red]\(0\)"/>
  </numFmts>
  <fonts count="35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/>
    <font>
      <b val="true"/>
      <color rgb="FF000000"/>
    </font>
    <font>
      <color rgb="FFFFFFFF"/>
      <sz val="16"/>
    </font>
    <font>
      <b val="true"/>
      <color rgb="FF000000"/>
      <sz val="10"/>
    </font>
    <font>
      <b val="true"/>
    </font>
    <font>
      <sz val="10"/>
    </font>
    <font>
      <name val="Helvetica Neue"/>
    </font>
    <font>
      <b val="false"/>
      <i val="false"/>
      <strike val="false"/>
      <color rgb="FF000000"/>
      <sz val="10"/>
    </font>
    <font>
      <b val="true"/>
      <i val="false"/>
      <strike val="false"/>
      <color rgb="FF000000"/>
      <sz val="14"/>
    </font>
    <font>
      <sz val="14"/>
    </font>
    <font>
      <color rgb="FFC00000"/>
    </font>
    <font>
      <b val="true"/>
      <i val="false"/>
      <strike val="false"/>
      <color rgb="FF000000"/>
      <sz val="10"/>
    </font>
    <font>
      <b val="true"/>
      <i val="false"/>
      <strike val="false"/>
      <color rgb="FFC00000"/>
      <sz val="10"/>
    </font>
    <font>
      <sz val="10"/>
    </font>
    <font>
      <color rgb="FFC00000"/>
      <sz val="10"/>
    </font>
    <font>
      <name val="微软雅黑"/>
      <color rgb="FF000000"/>
      <sz val="10"/>
    </font>
    <font>
      <color rgb="FF000000"/>
      <sz val="10"/>
    </font>
    <font>
      <b val="true"/>
      <color rgb="FF000000"/>
    </font>
    <font>
      <b val="true"/>
      <color rgb="FF000000"/>
      <sz val="10"/>
    </font>
    <font>
      <color rgb="FF000000"/>
      <sz val="10"/>
    </font>
    <font>
      <b val="true"/>
      <i val="false"/>
      <strike val="false"/>
      <color rgb="FF000000"/>
      <sz val="11"/>
    </font>
    <font>
      <b val="true"/>
      <color rgb="FF000000"/>
      <sz val="11"/>
    </font>
    <font>
      <sz val="9"/>
    </font>
    <font>
      <sz val="10"/>
    </font>
    <font>
      <sz val="9"/>
    </font>
    <font/>
    <font>
      <color rgb="FF212121"/>
      <sz val="10"/>
    </font>
    <font>
      <color rgb="FF212121"/>
      <sz val="9"/>
    </font>
    <font>
      <sz val="11"/>
    </font>
    <font>
      <b val="true"/>
      <sz val="11"/>
    </font>
    <font>
      <b val="true"/>
      <color rgb="FF808080"/>
      <sz val="11"/>
    </font>
    <font>
      <color rgb="FF808080"/>
      <sz val="11"/>
    </font>
  </fonts>
  <fills count="10">
    <fill>
      <patternFill patternType="none"/>
    </fill>
    <fill>
      <patternFill patternType="gray125"/>
    </fill>
    <fill>
      <patternFill/>
    </fill>
    <fill>
      <patternFill patternType="solid">
        <fgColor rgb="FFF2F2F2"/>
        <bgColor auto="true"/>
      </patternFill>
    </fill>
    <fill>
      <patternFill patternType="solid">
        <fgColor rgb="FF000000"/>
        <bgColor auto="true"/>
      </patternFill>
    </fill>
    <fill>
      <patternFill patternType="solid">
        <fgColor rgb="FFD9D9D9"/>
        <bgColor auto="true"/>
      </patternFill>
    </fill>
    <fill>
      <patternFill patternType="solid">
        <fgColor rgb="FFD8D8D8"/>
        <bgColor auto="true"/>
      </patternFill>
    </fill>
    <fill>
      <patternFill patternType="solid">
        <fgColor rgb="FFFFEEAD"/>
        <bgColor auto="true"/>
      </patternFill>
    </fill>
    <fill>
      <patternFill patternType="solid">
        <fgColor rgb="FFFFE9E8"/>
        <bgColor auto="true"/>
      </patternFill>
    </fill>
    <fill>
      <patternFill patternType="solid">
        <fgColor rgb="FFD9E1F4"/>
        <bgColor auto="true"/>
      </patternFill>
    </fill>
  </fills>
  <borders count="48">
    <border>
      <left/>
      <right/>
      <top/>
      <bottom/>
      <diagonal/>
    </border>
    <border diagonalUp="true" diagonalDown="true">
      <left style="medium">
        <color rgb="FF000000"/>
      </left>
      <right>
        <color/>
      </right>
      <top style="medium">
        <color rgb="FF000000"/>
      </top>
      <bottom>
        <color/>
      </bottom>
      <diagonal>
        <color/>
      </diagonal>
    </border>
    <border diagonalUp="true" diagonalDown="true">
      <left>
        <color/>
      </left>
      <right>
        <color/>
      </right>
      <top style="medium">
        <color rgb="FF000000"/>
      </top>
      <bottom>
        <color/>
      </bottom>
      <diagonal>
        <color/>
      </diagonal>
    </border>
    <border diagonalUp="true" diagonalDown="true">
      <left>
        <color/>
      </left>
      <right style="medium">
        <color rgb="FF000000"/>
      </right>
      <top style="medium">
        <color rgb="FF000000"/>
      </top>
      <bottom>
        <color/>
      </bottom>
      <diagonal>
        <color/>
      </diagonal>
    </border>
    <border diagonalUp="true" diagonalDown="true">
      <right>
        <color/>
      </right>
      <top>
        <color/>
      </top>
      <bottom>
        <color/>
      </bottom>
      <diagonal>
        <color/>
      </diagonal>
    </border>
    <border diagonalUp="true" diagonalDown="true">
      <left>
        <color/>
      </left>
      <right>
        <color/>
      </right>
      <top>
        <color/>
      </top>
      <bottom>
        <color/>
      </bottom>
      <diagonal>
        <color/>
      </diagonal>
    </border>
    <border diagonalUp="true" diagonalDown="true">
      <left style="medium">
        <color rgb="FF000000"/>
      </left>
      <right>
        <color/>
      </right>
      <top>
        <color/>
      </top>
      <bottom>
        <color/>
      </bottom>
      <diagonal>
        <color/>
      </diagonal>
    </border>
    <border diagonalUp="true" diagonalDown="true">
      <left>
        <color/>
      </left>
      <right>
        <color/>
      </right>
      <top>
        <color/>
      </top>
      <bottom>
        <color/>
      </bottom>
      <diagonal>
        <color/>
      </diagonal>
    </border>
    <border diagonalUp="true" diagonalDown="true">
      <left>
        <color/>
      </left>
      <right style="medium">
        <color rgb="FF000000"/>
      </right>
      <top>
        <color/>
      </top>
      <bottom>
        <color/>
      </bottom>
      <diagonal>
        <color/>
      </diagonal>
    </border>
    <border>
      <left style="medium">
        <color rgb="FF000000"/>
      </left>
    </border>
    <border/>
    <border>
      <right style="medium">
        <color rgb="FF000000"/>
      </right>
    </border>
    <border>
      <left style="medium">
        <color rgb="FF000000"/>
      </left>
    </border>
    <border diagonalUp="true" diagonalDown="true">
      <left style="medium">
        <color rgb="FF000000"/>
      </left>
      <right>
        <color/>
      </right>
      <top>
        <color/>
      </top>
      <bottom>
        <color/>
      </bottom>
      <diagonal>
        <color/>
      </diagonal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/>
    <border>
      <bottom style="thin">
        <color rgb="FF000000"/>
      </bottom>
    </border>
    <border/>
    <border/>
    <border>
      <bottom/>
    </border>
    <border>
      <bottom style="thin">
        <color rgb="FF000000"/>
      </bottom>
    </border>
    <border diagonalUp="true" diagonalDown="true">
      <left/>
      <right/>
      <top/>
      <bottom/>
      <diagonal/>
    </border>
    <border diagonalUp="true" diagonalDown="true">
      <diagonal/>
    </border>
    <border diagonalUp="true" diagonalDown="true">
      <left/>
      <right/>
      <top/>
      <bottom style="thin">
        <color rgb="FF000000"/>
      </bottom>
      <diagonal/>
    </border>
    <border diagonalUp="true" diagonalDown="true">
      <left>
        <color/>
      </left>
      <right>
        <color/>
      </right>
      <top>
        <color/>
      </top>
      <bottom style="thin">
        <color rgb="FF000000"/>
      </bottom>
      <diagonal>
        <color/>
      </diagonal>
    </border>
    <border>
      <right style="thin">
        <color rgb="FF000000"/>
      </right>
    </border>
    <border>
      <right style="thin">
        <color rgb="FF000000"/>
      </right>
    </border>
    <border>
      <right/>
    </border>
    <border>
      <right style="thin">
        <color rgb="FF000000"/>
      </right>
      <bottom style="thin">
        <color rgb="FF000000"/>
      </bottom>
    </border>
    <border diagonalUp="true" diagonalDown="true">
      <left/>
      <right style="thin">
        <color rgb="FF000000"/>
      </right>
      <top/>
      <bottom/>
      <diagonal/>
    </border>
    <border diagonalUp="true" diagonalDown="true">
      <left/>
      <right/>
      <bottom/>
      <diagonal/>
    </border>
    <border diagonalUp="true" diagonalDown="true">
      <left/>
      <right style="thin">
        <color rgb="FF000000"/>
      </right>
      <bottom/>
      <diagonal/>
    </border>
    <border diagonalUp="true" diagonalDown="true">
      <right/>
      <bottom/>
      <diagonal/>
    </border>
    <border diagonalUp="true" diagonalDown="true">
      <left/>
      <right/>
      <top/>
      <bottom/>
      <diagonal/>
    </border>
    <border diagonalUp="true" diagonalDown="true">
      <left/>
      <right style="thin">
        <color rgb="FF000000"/>
      </right>
      <top/>
      <bottom/>
      <diagonal/>
    </border>
    <border diagonalUp="true" diagonalDown="true">
      <right/>
      <top/>
      <bottom/>
      <diagonal/>
    </border>
    <border diagonalUp="true" diagonalDown="true">
      <left>
        <color/>
      </left>
      <right>
        <color/>
      </right>
      <bottom>
        <color/>
      </bottom>
      <diagonal>
        <color/>
      </diagonal>
    </border>
    <border diagonalUp="true" diagonalDown="true">
      <left>
        <color/>
      </left>
      <right style="thin">
        <color rgb="FF000000"/>
      </right>
      <bottom>
        <color/>
      </bottom>
      <diagonal>
        <color/>
      </diagonal>
    </border>
    <border diagonalUp="true" diagonalDown="true">
      <right>
        <color/>
      </right>
      <bottom>
        <color/>
      </bottom>
      <diagonal>
        <color/>
      </diagonal>
    </border>
    <border diagonalUp="true" diagonalDown="true">
      <left>
        <color/>
      </left>
      <right style="thin">
        <color rgb="FF000000"/>
      </right>
      <top>
        <color/>
      </top>
      <bottom>
        <color/>
      </bottom>
      <diagonal>
        <color/>
      </diagonal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 diagonalUp="true" diagonalDown="true">
      <left>
        <color/>
      </left>
      <right>
        <color/>
      </right>
      <top>
        <color/>
      </top>
      <bottom>
        <color rgb="FF000000"/>
      </bottom>
      <diagonal>
        <color/>
      </diagonal>
    </border>
  </borders>
  <cellStyleXfs>
    <xf numFmtId="0" fontId="0" fillId="0" borderId="0" xfId="0">
      <alignment vertical="center"/>
    </xf>
  </cellStyleXfs>
  <cellXfs count="294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0" fillId="0" borderId="0" xfId="0">
      <alignment/>
    </xf>
    <xf fontId="3" fillId="2" borderId="0" xfId="0">
      <alignment horizontal="center" vertical="center"/>
    </xf>
    <xf fontId="3" fillId="2" borderId="0" xfId="0">
      <alignment/>
    </xf>
    <xf fontId="4" fillId="3" borderId="1" xfId="0">
      <alignment horizontal="center" vertical="center"/>
    </xf>
    <xf fontId="4" fillId="3" borderId="2" xfId="0">
      <alignment horizontal="center" vertical="center"/>
    </xf>
    <xf fontId="4" fillId="3" borderId="3" xfId="0">
      <alignment horizontal="center" vertical="center"/>
    </xf>
    <xf fontId="3" fillId="2" borderId="4" xfId="0">
      <alignment horizontal="center" vertical="center"/>
    </xf>
    <xf fontId="3" fillId="2" borderId="5" xfId="0">
      <alignment/>
    </xf>
    <xf fontId="0" fillId="0" borderId="6" xfId="0">
      <alignment horizontal="center" vertical="center"/>
    </xf>
    <xf fontId="0" fillId="0" borderId="5" xfId="0">
      <alignment/>
    </xf>
    <xf fontId="0" fillId="0" borderId="7" xfId="0">
      <alignment/>
    </xf>
    <xf fontId="0" fillId="0" borderId="8" xfId="0">
      <alignment horizontal="center" vertical="center"/>
    </xf>
    <xf fontId="0" fillId="0" borderId="4" xfId="0">
      <alignment horizontal="center" vertical="center"/>
    </xf>
    <xf fontId="0" fillId="0" borderId="9" xfId="0">
      <alignment horizontal="center" vertical="center"/>
    </xf>
    <xf fontId="0" fillId="0" borderId="10" xfId="0">
      <alignment horizontal="left" vertical="center"/>
    </xf>
    <xf fontId="0" fillId="0" borderId="11" xfId="0">
      <alignment horizontal="center" vertical="center"/>
    </xf>
    <xf fontId="0" fillId="0" borderId="0" xfId="0">
      <alignment horizontal="center" vertical="center"/>
    </xf>
    <xf fontId="0" fillId="0" borderId="12" xfId="0">
      <alignment horizontal="center" vertical="center"/>
    </xf>
    <xf fontId="0" fillId="0" borderId="13" xfId="0">
      <alignment horizontal="center" vertical="center"/>
    </xf>
    <xf fontId="0" fillId="0" borderId="14" xfId="0">
      <alignment horizontal="center" vertical="center"/>
    </xf>
    <xf fontId="0" fillId="0" borderId="15" xfId="0">
      <alignment horizontal="left" vertical="center"/>
    </xf>
    <xf fontId="0" fillId="0" borderId="16" xfId="0">
      <alignment horizontal="center" vertical="center"/>
    </xf>
    <xf fontId="0" fillId="0" borderId="0" xfId="0">
      <alignment/>
    </xf>
    <xf fontId="5" fillId="4" borderId="17" xfId="0">
      <alignment horizontal="center" vertical="center"/>
    </xf>
    <xf fontId="0" fillId="0" borderId="10" xfId="0">
      <alignment vertical="center"/>
    </xf>
    <xf fontId="0" fillId="0" borderId="10" xfId="0">
      <alignment horizontal="center" vertical="center"/>
    </xf>
    <xf fontId="6" fillId="3" borderId="18" xfId="0">
      <alignment horizontal="center" vertical="center"/>
    </xf>
    <xf fontId="0" fillId="0" borderId="0" xfId="0">
      <alignment vertical="center" wrapText="true"/>
    </xf>
    <xf fontId="0" fillId="0" borderId="10" xfId="0">
      <alignment vertical="center" wrapText="true"/>
    </xf>
    <xf fontId="0" fillId="0" borderId="18" xfId="0">
      <alignment horizontal="center" vertical="center"/>
    </xf>
    <xf fontId="0" fillId="0" borderId="18" xfId="0">
      <alignment vertical="center" wrapText="true"/>
    </xf>
    <xf fontId="0" fillId="0" borderId="0" xfId="0">
      <alignment vertical="center"/>
    </xf>
    <xf fontId="0" fillId="0" borderId="0" xfId="0">
      <alignment horizontal="left" vertical="center"/>
    </xf>
    <xf fontId="0" fillId="0" borderId="18" xfId="0">
      <alignment horizontal="left" vertical="center"/>
    </xf>
    <xf fontId="0" fillId="0" borderId="18" xfId="0">
      <alignment vertical="center"/>
    </xf>
    <xf fontId="5" fillId="4" borderId="0" xfId="0">
      <alignment vertical="center"/>
    </xf>
    <xf fontId="7" fillId="5" borderId="18" xfId="0">
      <alignment horizontal="center" vertical="center"/>
    </xf>
    <xf fontId="7" fillId="5" borderId="18" xfId="0">
      <alignment horizontal="center" vertical="bottom"/>
    </xf>
    <xf fontId="8" fillId="3" borderId="0" xfId="0">
      <alignment vertical="center" wrapText="true"/>
    </xf>
    <xf fontId="0" fillId="3" borderId="0" xfId="0">
      <alignment horizontal="center" vertical="center"/>
    </xf>
    <xf fontId="0" fillId="3" borderId="0" xfId="0">
      <alignment vertical="center"/>
    </xf>
    <xf fontId="8" fillId="0" borderId="18" xfId="0">
      <alignment vertical="center" wrapText="true"/>
    </xf>
    <xf fontId="0" fillId="3" borderId="0" xfId="0">
      <alignment vertical="center" wrapText="true"/>
    </xf>
    <xf fontId="8" fillId="0" borderId="0" xfId="0">
      <alignment vertical="center" wrapText="true"/>
    </xf>
    <xf fontId="0" fillId="3" borderId="18" xfId="0">
      <alignment vertical="center"/>
    </xf>
    <xf fontId="0" fillId="3" borderId="18" xfId="0">
      <alignment horizontal="center" vertical="center"/>
    </xf>
    <xf fontId="0" fillId="0" borderId="18" xfId="0">
      <alignment vertical="center"/>
    </xf>
    <xf fontId="9" fillId="3" borderId="18" xfId="0">
      <alignment vertical="center" wrapText="true"/>
    </xf>
    <xf fontId="0" fillId="3" borderId="18" xfId="0">
      <alignment vertical="center" wrapText="true"/>
    </xf>
    <xf fontId="0" fillId="0" borderId="19" xfId="0">
      <alignment vertical="center"/>
    </xf>
    <xf fontId="0" fillId="0" borderId="20" xfId="0">
      <alignment vertical="center"/>
    </xf>
    <xf fontId="3" fillId="2" borderId="21" xfId="0">
      <alignment horizontal="center" vertical="center"/>
    </xf>
    <xf fontId="3" fillId="2" borderId="21" xfId="0">
      <alignment/>
    </xf>
    <xf fontId="3" fillId="2" borderId="22" xfId="0">
      <alignment horizontal="center" vertical="center"/>
    </xf>
    <xf fontId="3" fillId="2" borderId="22" xfId="0">
      <alignment/>
    </xf>
    <xf numFmtId="0" fontId="10" fillId="0" borderId="0" xfId="0">
      <alignment vertical="center" wrapText="true"/>
    </xf>
    <xf numFmtId="300" fontId="11" fillId="3" borderId="0" xfId="0">
      <alignment horizontal="left" vertical="center" wrapText="true"/>
    </xf>
    <xf fontId="12" fillId="0" borderId="0" xfId="0">
      <alignment horizontal="left" vertical="center"/>
    </xf>
    <xf fontId="13" fillId="3" borderId="0" xfId="0">
      <alignment horizontal="center" vertical="center"/>
    </xf>
    <xf fontId="0" fillId="3" borderId="0" xfId="0">
      <alignment vertical="center"/>
    </xf>
    <xf fontId="0" fillId="6" borderId="0" xfId="0">
      <alignment horizontal="center" vertical="center"/>
    </xf>
    <xf numFmtId="0" fontId="14" fillId="6" borderId="0" xfId="0">
      <alignment horizontal="center" vertical="center"/>
    </xf>
    <xf numFmtId="0" fontId="14" fillId="6" borderId="0" xfId="0">
      <alignment horizontal="center" vertical="center" wrapText="true"/>
    </xf>
    <xf numFmtId="0" fontId="15" fillId="7" borderId="0" xfId="0">
      <alignment horizontal="center" vertical="center" wrapText="true"/>
    </xf>
    <xf numFmtId="300" fontId="0" fillId="6" borderId="0" xfId="0">
      <alignment horizontal="center" vertical="center" wrapText="true"/>
    </xf>
    <xf numFmtId="300" fontId="10" fillId="6" borderId="0" xfId="0">
      <alignment horizontal="center" vertical="center" wrapText="true"/>
    </xf>
    <xf numFmtId="0" fontId="10" fillId="0" borderId="0" xfId="0">
      <alignment horizontal="center" vertical="center" wrapText="true"/>
    </xf>
    <xf numFmtId="0" fontId="10" fillId="0" borderId="0" xfId="0">
      <alignment vertical="center"/>
    </xf>
    <xf fontId="16" fillId="0" borderId="0" xfId="0">
      <alignment vertical="center" wrapText="true"/>
    </xf>
    <xf fontId="16" fillId="0" borderId="10" xfId="0">
      <alignment horizontal="center" vertical="center"/>
    </xf>
    <xf fontId="16" fillId="0" borderId="0" xfId="0">
      <alignment horizontal="center" vertical="center"/>
    </xf>
    <xf fontId="17" fillId="0" borderId="0" xfId="0">
      <alignment horizontal="center" vertical="center"/>
    </xf>
    <xf fontId="16" fillId="0" borderId="0" xfId="0">
      <alignment vertical="center"/>
    </xf>
    <xf numFmtId="0" fontId="16" fillId="0" borderId="0" xfId="0">
      <alignment horizontal="center" vertical="center"/>
    </xf>
    <xf numFmtId="0" fontId="10" fillId="0" borderId="23" xfId="0">
      <alignment vertical="center"/>
    </xf>
    <xf numFmtId="0" fontId="10" fillId="0" borderId="23" xfId="0">
      <alignment vertical="center" wrapText="true"/>
    </xf>
    <xf fontId="16" fillId="0" borderId="23" xfId="0">
      <alignment horizontal="center" vertical="center"/>
    </xf>
    <xf fontId="17" fillId="0" borderId="23" xfId="0">
      <alignment horizontal="center" vertical="center"/>
    </xf>
    <xf fontId="16" fillId="0" borderId="23" xfId="0">
      <alignment vertical="center"/>
    </xf>
    <xf numFmtId="0" fontId="16" fillId="0" borderId="23" xfId="0">
      <alignment horizontal="center" vertical="center"/>
    </xf>
    <xf numFmtId="0" fontId="16" fillId="0" borderId="24" xfId="0">
      <alignment horizontal="center" vertical="center"/>
    </xf>
    <xf fontId="16" fillId="0" borderId="18" xfId="0">
      <alignment vertical="center" wrapText="true"/>
    </xf>
    <xf fontId="16" fillId="0" borderId="18" xfId="0">
      <alignment horizontal="center" vertical="center"/>
    </xf>
    <xf fontId="17" fillId="0" borderId="18" xfId="0">
      <alignment horizontal="center" vertical="center"/>
    </xf>
    <xf numFmtId="0" fontId="16" fillId="0" borderId="18" xfId="0">
      <alignment horizontal="center" vertical="center"/>
    </xf>
    <xf fontId="16" fillId="0" borderId="18" xfId="0">
      <alignment vertical="center"/>
    </xf>
    <xf numFmtId="0" fontId="10" fillId="0" borderId="18" xfId="0">
      <alignment vertical="center"/>
    </xf>
    <xf numFmtId="0" fontId="10" fillId="0" borderId="0" xfId="0">
      <alignment horizontal="center" vertical="center"/>
    </xf>
    <xf fontId="18" fillId="0" borderId="0" xfId="0">
      <alignment vertical="center" wrapText="true"/>
    </xf>
    <xf fontId="18" fillId="0" borderId="0" xfId="0">
      <alignment horizontal="center" vertical="center" wrapText="true"/>
    </xf>
    <xf fontId="18" fillId="0" borderId="23" xfId="0">
      <alignment vertical="center" wrapText="true"/>
    </xf>
    <xf fontId="18" fillId="0" borderId="23" xfId="0">
      <alignment horizontal="center" vertical="center" wrapText="true"/>
    </xf>
    <xf numFmtId="0" fontId="0" fillId="0" borderId="0" xfId="0">
      <alignment horizontal="center" vertical="center"/>
    </xf>
    <xf numFmtId="0" fontId="10" fillId="0" borderId="10" xfId="0">
      <alignment vertical="center"/>
    </xf>
    <xf numFmtId="0" fontId="10" fillId="0" borderId="25" xfId="0">
      <alignment vertical="center"/>
    </xf>
    <xf numFmtId="0" fontId="10" fillId="0" borderId="18" xfId="0">
      <alignment vertical="center" wrapText="true"/>
    </xf>
    <xf fontId="13" fillId="0" borderId="18" xfId="0">
      <alignment horizontal="center" vertical="center"/>
    </xf>
    <xf numFmtId="0" fontId="0" fillId="0" borderId="18" xfId="0">
      <alignment horizontal="center" vertical="center"/>
    </xf>
    <xf numFmtId="0" fontId="10" fillId="0" borderId="0" xfId="0">
      <alignment horizontal="left" vertical="center" wrapText="true"/>
    </xf>
    <xf fontId="13" fillId="0" borderId="0" xfId="0">
      <alignment horizontal="center" vertical="center"/>
    </xf>
    <xf numFmtId="0" fontId="10" fillId="0" borderId="18" xfId="0">
      <alignment horizontal="left" vertical="center" wrapText="true"/>
    </xf>
    <xf numFmtId="300" fontId="10" fillId="0" borderId="0" xfId="0">
      <alignment vertical="center" wrapText="true"/>
    </xf>
    <xf fontId="5" fillId="4" borderId="0" xfId="0">
      <alignment horizontal="center" vertical="center"/>
    </xf>
    <xf fontId="19" fillId="0" borderId="0" xfId="0">
      <alignment horizontal="center" vertical="center"/>
    </xf>
    <xf fontId="19" fillId="0" borderId="0" xfId="0">
      <alignment vertical="center" wrapText="true"/>
    </xf>
    <xf fontId="19" fillId="3" borderId="0" xfId="0">
      <alignment horizontal="center" vertical="center"/>
    </xf>
    <xf fontId="19" fillId="3" borderId="0" xfId="0">
      <alignment vertical="center" wrapText="true"/>
    </xf>
    <xf fontId="0" fillId="0" borderId="7" xfId="0">
      <alignment vertical="center"/>
    </xf>
    <xf numFmtId="0" fontId="19" fillId="0" borderId="7" xfId="0">
      <alignment horizontal="center" vertical="center"/>
    </xf>
    <xf numFmtId="0" fontId="19" fillId="0" borderId="7" xfId="0">
      <alignment vertical="center" wrapText="true"/>
    </xf>
    <xf fontId="19" fillId="0" borderId="7" xfId="0">
      <alignment horizontal="center" vertical="center"/>
    </xf>
    <xf fontId="19" fillId="3" borderId="26" xfId="0">
      <alignment horizontal="center" vertical="center"/>
    </xf>
    <xf fontId="19" fillId="3" borderId="26" xfId="0">
      <alignment vertical="center"/>
    </xf>
    <xf numFmtId="301" fontId="0" fillId="0" borderId="0" xfId="0">
      <alignment horizontal="center" vertical="center"/>
    </xf>
    <xf fontId="20" fillId="0" borderId="0" xfId="0">
      <alignment horizontal="center" vertical="center"/>
    </xf>
    <xf fontId="21" fillId="8" borderId="0" xfId="0">
      <alignment horizontal="center" vertical="center"/>
    </xf>
    <xf numFmtId="0" fontId="14" fillId="8" borderId="0" xfId="0">
      <alignment horizontal="center" vertical="center"/>
    </xf>
    <xf fontId="21" fillId="8" borderId="0" xfId="0">
      <alignment horizontal="center" vertical="center" wrapText="true"/>
    </xf>
    <xf numFmtId="0" fontId="22" fillId="0" borderId="0" xfId="0">
      <alignment vertical="center" wrapText="true"/>
    </xf>
    <xf numFmtId="0" fontId="23" fillId="3" borderId="0" xfId="0">
      <alignment horizontal="center" vertical="center"/>
    </xf>
    <xf numFmtId="0" fontId="24" fillId="3" borderId="0" xfId="0">
      <alignment horizontal="center" vertical="center"/>
    </xf>
    <xf numFmtId="0" fontId="23" fillId="3" borderId="0" xfId="0">
      <alignment horizontal="center" vertical="center" wrapText="true"/>
    </xf>
    <xf numFmtId="0" fontId="23" fillId="3" borderId="27" xfId="0">
      <alignment horizontal="center" vertical="center" wrapText="true"/>
    </xf>
    <xf numFmtId="0" fontId="23" fillId="3" borderId="27" xfId="0">
      <alignment horizontal="center" vertical="center"/>
    </xf>
    <xf numFmtId="0" fontId="19" fillId="0" borderId="0" xfId="0">
      <alignment horizontal="center" vertical="center"/>
    </xf>
    <xf fontId="25" fillId="0" borderId="0" xfId="0">
      <alignment horizontal="center" vertical="center" wrapText="false"/>
    </xf>
    <xf numFmtId="0" fontId="19" fillId="0" borderId="27" xfId="0">
      <alignment vertical="center" wrapText="true"/>
    </xf>
    <xf numFmtId="300" fontId="8" fillId="0" borderId="0" xfId="0">
      <alignment horizontal="center" vertical="center"/>
    </xf>
    <xf numFmtId="302" fontId="8" fillId="0" borderId="28" xfId="0">
      <alignment horizontal="center" vertical="center"/>
    </xf>
    <xf fontId="25" fillId="0" borderId="0" xfId="0">
      <alignment vertical="center" wrapText="false"/>
    </xf>
    <xf numFmtId="0" fontId="19" fillId="0" borderId="0" xfId="0">
      <alignment vertical="center"/>
    </xf>
    <xf fontId="25" fillId="0" borderId="28" xfId="0">
      <alignment horizontal="center" vertical="center" wrapText="false"/>
    </xf>
    <xf numFmtId="0" fontId="19" fillId="0" borderId="0" xfId="0">
      <alignment vertical="center" wrapText="true"/>
    </xf>
    <xf numFmtId="0" fontId="22" fillId="0" borderId="0" xfId="0">
      <alignment horizontal="center" vertical="center"/>
    </xf>
    <xf numFmtId="0" fontId="19" fillId="0" borderId="28" xfId="0">
      <alignment vertical="center" wrapText="true"/>
    </xf>
    <xf numFmtId="0" fontId="19" fillId="0" borderId="7" xfId="0">
      <alignment vertical="center"/>
    </xf>
    <xf fontId="0" fillId="0" borderId="27" xfId="0">
      <alignment vertical="center"/>
    </xf>
    <xf numFmtId="302" fontId="8" fillId="0" borderId="27" xfId="0">
      <alignment horizontal="center" vertical="center"/>
    </xf>
    <xf numFmtId="302" fontId="26" fillId="0" borderId="7" xfId="0">
      <alignment horizontal="center" vertical="center"/>
    </xf>
    <xf fontId="25" fillId="0" borderId="27" xfId="0">
      <alignment horizontal="center" vertical="center" wrapText="false"/>
    </xf>
    <xf numFmtId="0" fontId="19" fillId="0" borderId="5" xfId="0">
      <alignment vertical="center"/>
    </xf>
    <xf numFmtId="0" fontId="19" fillId="0" borderId="0" xfId="0">
      <alignment/>
    </xf>
    <xf numFmtId="300" fontId="8" fillId="0" borderId="29" xfId="0">
      <alignment horizontal="center" vertical="center"/>
    </xf>
    <xf fontId="19" fillId="0" borderId="5" xfId="0">
      <alignment vertical="center"/>
    </xf>
    <xf fontId="19" fillId="0" borderId="0" xfId="0">
      <alignment vertical="center"/>
    </xf>
    <xf numFmtId="300" fontId="8" fillId="0" borderId="0" xfId="0">
      <alignment horizontal="left" vertical="center"/>
    </xf>
    <xf fontId="19" fillId="0" borderId="0" xfId="0">
      <alignment/>
    </xf>
    <xf numFmtId="0" fontId="19" fillId="0" borderId="23" xfId="0">
      <alignment horizontal="center" vertical="center"/>
    </xf>
    <xf fontId="27" fillId="0" borderId="0" xfId="0">
      <alignment horizontal="center" vertical="center" wrapText="false"/>
    </xf>
    <xf numFmtId="0" fontId="10" fillId="0" borderId="27" xfId="0">
      <alignment vertical="center" wrapText="true"/>
    </xf>
    <xf numFmtId="300" fontId="16" fillId="0" borderId="0" xfId="0">
      <alignment horizontal="center" vertical="center"/>
    </xf>
    <xf numFmtId="302" fontId="16" fillId="0" borderId="27" xfId="0">
      <alignment horizontal="center" vertical="center"/>
    </xf>
    <xf fontId="27" fillId="0" borderId="0" xfId="0">
      <alignment vertical="center" wrapText="false"/>
    </xf>
    <xf fontId="27" fillId="0" borderId="27" xfId="0">
      <alignment horizontal="center" vertical="center" wrapText="false"/>
    </xf>
    <xf fontId="22" fillId="0" borderId="0" xfId="0">
      <alignment vertical="center" wrapText="true"/>
    </xf>
    <xf numFmtId="0" fontId="19" fillId="0" borderId="18" xfId="0">
      <alignment horizontal="center" vertical="center"/>
    </xf>
    <xf fontId="25" fillId="0" borderId="18" xfId="0">
      <alignment horizontal="center" vertical="center" wrapText="false"/>
    </xf>
    <xf numFmtId="0" fontId="19" fillId="0" borderId="18" xfId="0">
      <alignment vertical="center" wrapText="true"/>
    </xf>
    <xf numFmtId="0" fontId="19" fillId="0" borderId="30" xfId="0">
      <alignment vertical="center" wrapText="true"/>
    </xf>
    <xf numFmtId="300" fontId="8" fillId="0" borderId="18" xfId="0">
      <alignment horizontal="center" vertical="center"/>
    </xf>
    <xf numFmtId="302" fontId="8" fillId="0" borderId="30" xfId="0">
      <alignment horizontal="center" vertical="center"/>
    </xf>
    <xf fontId="25" fillId="0" borderId="18" xfId="0">
      <alignment vertical="center" wrapText="false"/>
    </xf>
    <xf numFmtId="0" fontId="19" fillId="0" borderId="18" xfId="0">
      <alignment vertical="center"/>
    </xf>
    <xf fontId="25" fillId="0" borderId="30" xfId="0">
      <alignment horizontal="center" vertical="center" wrapText="false"/>
    </xf>
    <xf fontId="28" fillId="0" borderId="18" xfId="0">
      <alignment/>
    </xf>
    <xf fontId="19" fillId="0" borderId="18" xfId="0">
      <alignment vertical="center" wrapText="true"/>
    </xf>
    <xf numFmtId="0" fontId="19" fillId="0" borderId="5" xfId="0">
      <alignment horizontal="center" vertical="center"/>
    </xf>
    <xf fontId="25" fillId="0" borderId="5" xfId="0">
      <alignment horizontal="center" vertical="center" wrapText="false"/>
    </xf>
    <xf numFmtId="0" fontId="19" fillId="0" borderId="5" xfId="0">
      <alignment vertical="center" wrapText="true"/>
    </xf>
    <xf numFmtId="300" fontId="8" fillId="0" borderId="5" xfId="0">
      <alignment horizontal="center" vertical="center"/>
    </xf>
    <xf numFmtId="302" fontId="8" fillId="0" borderId="5" xfId="0">
      <alignment horizontal="center" vertical="center"/>
    </xf>
    <xf fontId="25" fillId="0" borderId="5" xfId="0">
      <alignment vertical="center" wrapText="false"/>
    </xf>
    <xf fontId="19" fillId="0" borderId="5" xfId="0">
      <alignment vertical="center" wrapText="true"/>
    </xf>
    <xf fontId="0" fillId="0" borderId="5" xfId="0">
      <alignment vertical="center"/>
    </xf>
    <xf fontId="22" fillId="0" borderId="0" xfId="0">
      <alignment vertical="center"/>
    </xf>
    <xf numFmtId="0" fontId="22" fillId="0" borderId="23" xfId="0">
      <alignment horizontal="center" vertical="center"/>
    </xf>
    <xf fontId="27" fillId="0" borderId="23" xfId="0">
      <alignment horizontal="center" vertical="center" wrapText="false"/>
    </xf>
    <xf numFmtId="0" fontId="10" fillId="0" borderId="31" xfId="0">
      <alignment vertical="center" wrapText="true"/>
    </xf>
    <xf numFmtId="300" fontId="16" fillId="0" borderId="23" xfId="0">
      <alignment horizontal="center" vertical="center"/>
    </xf>
    <xf numFmtId="302" fontId="16" fillId="0" borderId="31" xfId="0">
      <alignment horizontal="center" vertical="center"/>
    </xf>
    <xf fontId="27" fillId="0" borderId="23" xfId="0">
      <alignment vertical="center" wrapText="false"/>
    </xf>
    <xf fontId="22" fillId="0" borderId="23" xfId="0">
      <alignment vertical="center"/>
    </xf>
    <xf fontId="27" fillId="0" borderId="31" xfId="0">
      <alignment horizontal="center" vertical="center" wrapText="false"/>
    </xf>
    <xf fontId="22" fillId="0" borderId="23" xfId="0">
      <alignment vertical="center" wrapText="true"/>
    </xf>
    <xf numFmtId="302" fontId="8" fillId="0" borderId="0" xfId="0">
      <alignment horizontal="center" vertical="center"/>
    </xf>
    <xf numFmtId="0" fontId="19" fillId="0" borderId="32" xfId="0">
      <alignment horizontal="center" vertical="center"/>
    </xf>
    <xf fontId="25" fillId="0" borderId="32" xfId="0">
      <alignment horizontal="center" vertical="center" wrapText="false"/>
    </xf>
    <xf numFmtId="0" fontId="19" fillId="0" borderId="32" xfId="0">
      <alignment vertical="center" wrapText="true"/>
    </xf>
    <xf numFmtId="0" fontId="19" fillId="0" borderId="33" xfId="0">
      <alignment vertical="center" wrapText="true"/>
    </xf>
    <xf numFmtId="300" fontId="8" fillId="0" borderId="34" xfId="0">
      <alignment horizontal="center" vertical="center"/>
    </xf>
    <xf numFmtId="300" fontId="8" fillId="0" borderId="32" xfId="0">
      <alignment horizontal="center" vertical="center"/>
    </xf>
    <xf numFmtId="302" fontId="8" fillId="0" borderId="33" xfId="0">
      <alignment horizontal="center" vertical="center"/>
    </xf>
    <xf fontId="25" fillId="0" borderId="32" xfId="0">
      <alignment vertical="center" wrapText="false"/>
    </xf>
    <xf fontId="19" fillId="0" borderId="32" xfId="0">
      <alignment vertical="center"/>
    </xf>
    <xf fontId="25" fillId="0" borderId="33" xfId="0">
      <alignment horizontal="center" vertical="center" wrapText="false"/>
    </xf>
    <xf numFmtId="0" fontId="19" fillId="0" borderId="35" xfId="0">
      <alignment horizontal="center" vertical="center"/>
    </xf>
    <xf fontId="25" fillId="0" borderId="35" xfId="0">
      <alignment horizontal="center" vertical="center" wrapText="false"/>
    </xf>
    <xf numFmtId="0" fontId="19" fillId="0" borderId="35" xfId="0">
      <alignment vertical="center" wrapText="true"/>
    </xf>
    <xf numFmtId="0" fontId="19" fillId="0" borderId="36" xfId="0">
      <alignment vertical="center" wrapText="true"/>
    </xf>
    <xf numFmtId="300" fontId="8" fillId="0" borderId="37" xfId="0">
      <alignment horizontal="center" vertical="center"/>
    </xf>
    <xf numFmtId="300" fontId="8" fillId="0" borderId="35" xfId="0">
      <alignment horizontal="center" vertical="center"/>
    </xf>
    <xf numFmtId="302" fontId="8" fillId="0" borderId="36" xfId="0">
      <alignment horizontal="center" vertical="center"/>
    </xf>
    <xf fontId="25" fillId="0" borderId="35" xfId="0">
      <alignment vertical="center" wrapText="false"/>
    </xf>
    <xf numFmtId="0" fontId="19" fillId="0" borderId="35" xfId="0">
      <alignment vertical="center"/>
    </xf>
    <xf fontId="25" fillId="0" borderId="36" xfId="0">
      <alignment horizontal="center" vertical="center" wrapText="false"/>
    </xf>
    <xf fontId="19" fillId="0" borderId="35" xfId="0">
      <alignment vertical="center" wrapText="true"/>
    </xf>
    <xf numFmtId="0" fontId="19" fillId="0" borderId="38" xfId="0">
      <alignment horizontal="center" vertical="center"/>
    </xf>
    <xf fontId="25" fillId="0" borderId="38" xfId="0">
      <alignment horizontal="center" vertical="center" wrapText="false"/>
    </xf>
    <xf numFmtId="0" fontId="19" fillId="0" borderId="38" xfId="0">
      <alignment vertical="center" wrapText="true"/>
    </xf>
    <xf numFmtId="0" fontId="19" fillId="0" borderId="39" xfId="0">
      <alignment vertical="center" wrapText="true"/>
    </xf>
    <xf numFmtId="300" fontId="8" fillId="0" borderId="40" xfId="0">
      <alignment horizontal="center" vertical="center"/>
    </xf>
    <xf numFmtId="300" fontId="8" fillId="0" borderId="38" xfId="0">
      <alignment horizontal="center" vertical="center"/>
    </xf>
    <xf numFmtId="302" fontId="8" fillId="0" borderId="38" xfId="0">
      <alignment horizontal="center" vertical="center"/>
    </xf>
    <xf fontId="25" fillId="0" borderId="38" xfId="0">
      <alignment vertical="center" wrapText="false"/>
    </xf>
    <xf fontId="19" fillId="0" borderId="38" xfId="0">
      <alignment vertical="center"/>
    </xf>
    <xf fontId="19" fillId="0" borderId="38" xfId="0">
      <alignment vertical="center" wrapText="true"/>
    </xf>
    <xf numFmtId="0" fontId="22" fillId="0" borderId="5" xfId="0">
      <alignment horizontal="center" vertical="center"/>
    </xf>
    <xf fontId="27" fillId="0" borderId="5" xfId="0">
      <alignment horizontal="center" vertical="center" wrapText="false"/>
    </xf>
    <xf numFmtId="0" fontId="22" fillId="0" borderId="5" xfId="0">
      <alignment vertical="center" wrapText="true"/>
    </xf>
    <xf numFmtId="0" fontId="10" fillId="0" borderId="41" xfId="0">
      <alignment vertical="center" wrapText="true"/>
    </xf>
    <xf numFmtId="300" fontId="16" fillId="0" borderId="4" xfId="0">
      <alignment horizontal="center" vertical="center"/>
    </xf>
    <xf numFmtId="300" fontId="16" fillId="0" borderId="5" xfId="0">
      <alignment horizontal="center" vertical="center"/>
    </xf>
    <xf numFmtId="302" fontId="16" fillId="0" borderId="5" xfId="0">
      <alignment horizontal="center" vertical="center"/>
    </xf>
    <xf fontId="27" fillId="0" borderId="5" xfId="0">
      <alignment vertical="center" wrapText="false"/>
    </xf>
    <xf numFmtId="0" fontId="10" fillId="0" borderId="5" xfId="0">
      <alignment vertical="center"/>
    </xf>
    <xf fontId="22" fillId="0" borderId="5" xfId="0">
      <alignment vertical="center" wrapText="true"/>
    </xf>
    <xf numFmtId="0" fontId="10" fillId="0" borderId="5" xfId="0">
      <alignment vertical="center" wrapText="true"/>
    </xf>
    <xf fontId="19" fillId="0" borderId="32" xfId="0">
      <alignment vertical="center" wrapText="true"/>
    </xf>
    <xf fontId="19" fillId="0" borderId="34" xfId="0">
      <alignment vertical="center" wrapText="true"/>
    </xf>
    <xf numFmtId="0" fontId="22" fillId="0" borderId="38" xfId="0">
      <alignment horizontal="center" vertical="center"/>
    </xf>
    <xf fontId="27" fillId="0" borderId="38" xfId="0">
      <alignment horizontal="center" vertical="center" wrapText="false"/>
    </xf>
    <xf fontId="22" fillId="0" borderId="38" xfId="0">
      <alignment vertical="center"/>
    </xf>
    <xf numFmtId="0" fontId="10" fillId="0" borderId="39" xfId="0">
      <alignment vertical="center" wrapText="true"/>
    </xf>
    <xf numFmtId="300" fontId="16" fillId="0" borderId="40" xfId="0">
      <alignment horizontal="center" vertical="center"/>
    </xf>
    <xf numFmtId="300" fontId="16" fillId="0" borderId="38" xfId="0">
      <alignment horizontal="center" vertical="center"/>
    </xf>
    <xf numFmtId="302" fontId="16" fillId="0" borderId="38" xfId="0">
      <alignment horizontal="center" vertical="center"/>
    </xf>
    <xf fontId="27" fillId="0" borderId="38" xfId="0">
      <alignment vertical="center" wrapText="false"/>
    </xf>
    <xf fontId="27" fillId="0" borderId="39" xfId="0">
      <alignment horizontal="center" vertical="center" wrapText="false"/>
    </xf>
    <xf fontId="22" fillId="0" borderId="40" xfId="0">
      <alignment vertical="center"/>
    </xf>
    <xf numFmtId="300" fontId="16" fillId="0" borderId="38" xfId="0">
      <alignment horizontal="left" vertical="center"/>
    </xf>
    <xf numFmtId="300" fontId="16" fillId="0" borderId="23" xfId="0">
      <alignment horizontal="left" vertical="center"/>
    </xf>
    <xf fontId="25" fillId="0" borderId="23" xfId="0">
      <alignment horizontal="center" vertical="center" wrapText="false"/>
    </xf>
    <xf numFmtId="0" fontId="19" fillId="0" borderId="23" xfId="0">
      <alignment vertical="center" wrapText="true"/>
    </xf>
    <xf numFmtId="0" fontId="19" fillId="0" borderId="31" xfId="0">
      <alignment vertical="center" wrapText="true"/>
    </xf>
    <xf numFmtId="300" fontId="8" fillId="0" borderId="23" xfId="0">
      <alignment horizontal="center" vertical="center"/>
    </xf>
    <xf numFmtId="302" fontId="8" fillId="0" borderId="31" xfId="0">
      <alignment horizontal="center" vertical="center"/>
    </xf>
    <xf fontId="25" fillId="0" borderId="23" xfId="0">
      <alignment vertical="center" wrapText="false"/>
    </xf>
    <xf numFmtId="0" fontId="19" fillId="0" borderId="23" xfId="0">
      <alignment vertical="center"/>
    </xf>
    <xf fontId="25" fillId="0" borderId="31" xfId="0">
      <alignment horizontal="center" vertical="center" wrapText="false"/>
    </xf>
    <xf fontId="19" fillId="0" borderId="23" xfId="0">
      <alignment vertical="center" wrapText="true"/>
    </xf>
    <xf fontId="22" fillId="0" borderId="31" xfId="0">
      <alignment vertical="center" wrapText="true"/>
    </xf>
    <xf fontId="8" fillId="0" borderId="0" xfId="0">
      <alignment horizontal="center" vertical="center"/>
    </xf>
    <xf fontId="16" fillId="0" borderId="23" xfId="0">
      <alignment vertical="center" wrapText="true"/>
    </xf>
    <xf fontId="16" fillId="0" borderId="31" xfId="0">
      <alignment vertical="center" wrapText="true"/>
    </xf>
    <xf numFmtId="0" fontId="29" fillId="0" borderId="31" xfId="0">
      <alignment horizontal="right" vertical="center"/>
    </xf>
    <xf fontId="0" fillId="0" borderId="23" xfId="0">
      <alignment horizontal="center" vertical="center"/>
    </xf>
    <xf fontId="0" fillId="0" borderId="23" xfId="0">
      <alignment vertical="center" wrapText="true"/>
    </xf>
    <xf fontId="0" fillId="0" borderId="31" xfId="0">
      <alignment vertical="center" wrapText="true"/>
    </xf>
    <xf numFmtId="300" fontId="0" fillId="0" borderId="23" xfId="0">
      <alignment horizontal="center" vertical="center"/>
    </xf>
    <xf numFmtId="0" fontId="30" fillId="0" borderId="31" xfId="0">
      <alignment horizontal="right" vertical="center"/>
    </xf>
    <xf fontId="0" fillId="0" borderId="23" xfId="0">
      <alignment vertical="center"/>
    </xf>
    <xf fontId="0" fillId="0" borderId="27" xfId="0">
      <alignment vertical="center" wrapText="true"/>
    </xf>
    <xf numFmtId="300" fontId="0" fillId="0" borderId="0" xfId="0">
      <alignment horizontal="center" vertical="center"/>
    </xf>
    <xf numFmtId="0" fontId="30" fillId="0" borderId="27" xfId="0">
      <alignment horizontal="right" vertical="center"/>
    </xf>
    <xf fontId="31" fillId="0" borderId="0" xfId="0">
      <alignment vertical="center"/>
    </xf>
    <xf fontId="31" fillId="0" borderId="0" xfId="0">
      <alignment horizontal="center" vertical="center"/>
    </xf>
    <xf fontId="32" fillId="9" borderId="5" xfId="0">
      <alignment horizontal="center" vertical="center"/>
    </xf>
    <xf fontId="32" fillId="9" borderId="7" xfId="0">
      <alignment horizontal="center" vertical="center"/>
    </xf>
    <xf fontId="33" fillId="9" borderId="5" xfId="0">
      <alignment horizontal="center" vertical="center"/>
    </xf>
    <xf fontId="31" fillId="0" borderId="5" xfId="0">
      <alignment horizontal="center" vertical="center"/>
    </xf>
    <xf fontId="31" fillId="0" borderId="7" xfId="0">
      <alignment horizontal="center" vertical="center"/>
    </xf>
    <xf fontId="34" fillId="0" borderId="5" xfId="0">
      <alignment horizontal="center" vertical="center"/>
    </xf>
    <xf numFmtId="49" fontId="31" fillId="0" borderId="5" xfId="0">
      <alignment horizontal="center" vertical="center"/>
    </xf>
    <xf fontId="31" fillId="0" borderId="42" xfId="0">
      <alignment horizontal="center" vertical="center"/>
    </xf>
    <xf fontId="31" fillId="0" borderId="43" xfId="0">
      <alignment horizontal="center" vertical="center"/>
    </xf>
    <xf fontId="31" fillId="0" borderId="44" xfId="0">
      <alignment horizontal="center" vertical="center"/>
    </xf>
    <xf fontId="31" fillId="0" borderId="45" xfId="0">
      <alignment horizontal="center" vertical="center"/>
    </xf>
    <xf fontId="0" fillId="0" borderId="45" xfId="0">
      <alignment vertical="center"/>
    </xf>
    <xf fontId="31" fillId="0" borderId="46" xfId="0">
      <alignment horizontal="center" vertical="center"/>
    </xf>
    <xf fontId="31" fillId="0" borderId="18" xfId="0">
      <alignment horizontal="center" vertical="center"/>
    </xf>
    <xf fontId="31" fillId="0" borderId="22" xfId="0">
      <alignment horizontal="center" vertical="center"/>
    </xf>
    <xf fontId="31" fillId="0" borderId="30" xfId="0">
      <alignment horizontal="center" vertical="center"/>
    </xf>
    <xf fontId="0" fillId="0" borderId="30" xfId="0">
      <alignment vertical="center"/>
    </xf>
    <xf fontId="32" fillId="3" borderId="0" xfId="0">
      <alignment horizontal="center" vertical="center"/>
    </xf>
    <xf numFmtId="49" fontId="31" fillId="0" borderId="0" xfId="0">
      <alignment horizontal="center" vertical="center"/>
    </xf>
    <xf fontId="31" fillId="0" borderId="0" xfId="0">
      <alignment horizontal="left" vertical="center"/>
    </xf>
    <xf fontId="32" fillId="2" borderId="0" xfId="0">
      <alignment horizontal="center" vertical="center"/>
    </xf>
    <xf numFmtId="300" fontId="10" fillId="0" borderId="0" xfId="0">
      <alignment vertical="center"/>
    </xf>
    <xf fontId="0" fillId="0" borderId="7" xfId="0">
      <alignment horizontal="center" vertical="center"/>
    </xf>
    <xf fontId="0" fillId="0" borderId="47" xfId="0">
      <alignment vertical="center"/>
    </xf>
  </cellXfs>
  <dxfs count="1">
    <dxf>
      <font>
        <color rgb="FFDE322C"/>
      </font>
      <fill>
        <patternFill>
          <bgColor rgb="FFFFE9E8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worksheet" Target="worksheets/sheet6.xml" /><Relationship Id="rId0" Type="http://schemas.openxmlformats.org/officeDocument/2006/relationships/sharedStrings" Target="sharedStrings.xml" /><Relationship Id="rId7" Type="http://schemas.openxmlformats.org/officeDocument/2006/relationships/worksheet" Target="worksheets/sheet5.xml" /><Relationship Id="rId2" Type="http://schemas.openxmlformats.org/officeDocument/2006/relationships/styles" Target="styles.xml" /><Relationship Id="rId9" Type="http://schemas.openxmlformats.org/officeDocument/2006/relationships/worksheet" Target="worksheets/sheet7.xml" /><Relationship Id="rId6" Type="http://schemas.openxmlformats.org/officeDocument/2006/relationships/worksheet" Target="worksheets/sheet4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Relationship Id="rId5" Type="http://schemas.openxmlformats.org/officeDocument/2006/relationships/worksheet" Target="worksheets/sheet3.xml" /><Relationship Id="rId4" Type="http://schemas.openxmlformats.org/officeDocument/2006/relationships/worksheet" Target="worksheets/sheet2.xml" /></Relationships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主题​​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9" Type="http://schemas.openxmlformats.org/officeDocument/2006/relationships/hyperlink" Target="mailto:m.cascone@1sourcevideo.com" TargetMode="External"/><Relationship Id="rId8" Type="http://schemas.openxmlformats.org/officeDocument/2006/relationships/hyperlink" Target="mailto:leon.gun@kinefinity.com" TargetMode="External"/><Relationship Id="rId6" Type="http://schemas.openxmlformats.org/officeDocument/2006/relationships/hyperlink" Target="http://Returns@proav.co.uk" TargetMode="External"/><Relationship Id="rId5" Type="http://schemas.openxmlformats.org/officeDocument/2006/relationships/hyperlink" Target="mailto:sales@kinefinity.com" TargetMode="External"/><Relationship Id="rId4" Type="http://schemas.openxmlformats.org/officeDocument/2006/relationships/hyperlink" Target="https://doc.weixin.qq.com/sheet/e3_AH0AjgbUABs14YDOo8iTAy0P1vEKK?scode=AO0A7QcUAA80I014GwAH0AjgbUABs" TargetMode="External"/><Relationship Id="rId3" Type="http://schemas.openxmlformats.org/officeDocument/2006/relationships/hyperlink" Target="https://drive.weixin.qq.com/s?k=AO0A7QcUAA8FYGj08uAcIA9QaVAB4" TargetMode="External"/><Relationship Id="rId7" Type="http://schemas.openxmlformats.org/officeDocument/2006/relationships/hyperlink" Target="mailto:info@gafpagear.com" TargetMode="External"/><Relationship Id="rId0" Type="http://schemas.openxmlformats.org/officeDocument/2006/relationships/hyperlink" Target="https://doc.weixin.qq.com/flowchart/f4_AcIA9QaVAB4NInHLLlPTSC1kbiIJx?scode=AO0A7QcUAA82OcgKN9AcIA9QaVAB4" TargetMode="External"/><Relationship Id="rId10" Type="http://schemas.openxmlformats.org/officeDocument/2006/relationships/hyperlink" Target="mailto:dong@cinetx.com" TargetMode="External"/><Relationship Id="rId2" Type="http://schemas.openxmlformats.org/officeDocument/2006/relationships/hyperlink" Target="https://doc.weixin.qq.com/sheet/e3_AC0AswbQABsy0R71YKDQA6KKftANA?scode=AO0A7QcUAA8u30nw7pAC0AswbQABs" TargetMode="External"/><Relationship Id="rId1" Type="http://schemas.openxmlformats.org/officeDocument/2006/relationships/hyperlink" Target="https://doc.weixin.qq.com/sheet/e3_AcIA9QaVAB41qEjKeXBQreg0lAcp3?scode=AO0A7QcUAA8FRwgpPiAcIA9QaVAB4" TargetMode="External"/><Relationship Id="rId11" Type="http://schemas.openxmlformats.org/officeDocument/2006/relationships/hyperlink" Target="mailto:support@kinefinity.com" TargetMode="External"/><Relationship Id="rId12" Type="http://schemas.openxmlformats.org/officeDocument/2006/relationships/hyperlink" Target="mailto:ericyeong@gmail.com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tabColor rgb="FFFFFFFF"/>
  </sheetPr>
  <dimension ref="G61"/>
  <sheetViews>
    <sheetView showGridLines="true" rightToLeft="false" workbookViewId="0"/>
  </sheetViews>
  <cols>
    <col min="1" max="1" width="4.18359" customWidth="true"/>
    <col min="2" max="2" width="14.832" style="20" customWidth="true"/>
    <col min="3" max="3" width="18.2109" customWidth="true"/>
    <col min="4" max="4" width="57.3438" customWidth="true"/>
    <col min="5" max="5" width="26.7109" style="20" customWidth="true"/>
    <col min="6" max="6" width="22.9336" style="20" customWidth="true"/>
    <col min="7" max="7" width="45.4727" customWidth="true"/>
  </cols>
  <sheetData>
    <row r="1" spans="1:26" s="20" ht="30.75" customHeight="true">
      <c r="A1" s="4" t="s"/>
      <c r="B1" s="5" t="s"/>
      <c r="C1" s="6" t="s"/>
      <c r="D1" s="6" t="s"/>
      <c r="E1" s="5" t="s"/>
      <c r="F1" s="5" t="s"/>
      <c r="G1" s="6" t="s"/>
      <c r="H1" s="4" t="s"/>
      <c r="I1" s="4" t="s"/>
      <c r="J1" s="4" t="s"/>
      <c r="K1" s="4" t="s"/>
      <c r="L1" s="4" t="s"/>
      <c r="M1" s="4" t="s"/>
      <c r="N1" s="4" t="s"/>
      <c r="O1" s="4" t="s"/>
      <c r="P1" s="4" t="s"/>
      <c r="Q1" s="4" t="s"/>
      <c r="R1" s="4" t="s"/>
      <c r="S1" s="4" t="s"/>
      <c r="T1" s="4" t="s"/>
      <c r="U1" s="4" t="s"/>
      <c r="V1" s="4" t="s"/>
      <c r="W1" s="4" t="s"/>
      <c r="X1" s="4" t="s"/>
      <c r="Y1" s="4" t="s"/>
      <c r="Z1" s="4" t="s"/>
    </row>
    <row r="2" spans="1:26" s="292" ht="30.75" customHeight="true">
      <c r="A2" s="4" t="s"/>
      <c r="B2" s="7" t="s">
        <v>1</v>
      </c>
      <c r="C2" s="8" t="s">
        <v>2</v>
      </c>
      <c r="D2" s="8" t="s">
        <v>3</v>
      </c>
      <c r="E2" s="9" t="s">
        <v>4</v>
      </c>
      <c r="F2" s="10" t="s"/>
      <c r="G2" s="11" t="s"/>
      <c r="H2" s="4" t="s"/>
      <c r="I2" s="4" t="s"/>
      <c r="J2" s="4" t="s"/>
      <c r="K2" s="4" t="s"/>
      <c r="L2" s="4" t="s"/>
      <c r="M2" s="4" t="s"/>
      <c r="N2" s="4" t="s"/>
      <c r="O2" s="4" t="s"/>
      <c r="P2" s="4" t="s"/>
      <c r="Q2" s="4" t="s"/>
      <c r="R2" s="4" t="s"/>
      <c r="S2" s="4" t="s"/>
      <c r="T2" s="4" t="s"/>
      <c r="U2" s="4" t="s"/>
      <c r="V2" s="4" t="s"/>
      <c r="W2" s="4" t="s"/>
      <c r="X2" s="4" t="s"/>
      <c r="Y2" s="4" t="s"/>
      <c r="Z2" s="4" t="s"/>
    </row>
    <row r="3" spans="2:6" s="292" ht="30.75" customHeight="true">
      <c r="B3" s="12">
        <v>1</v>
      </c>
      <c r="C3" s="13" t="s">
        <v>5</v>
      </c>
      <c r="D3" s="14" t="s">
        <v>6</v>
      </c>
      <c r="E3" s="15" t="s">
        <v>476</v>
      </c>
      <c r="F3" s="16" t="s"/>
    </row>
    <row r="4" spans="2:6" s="20" ht="30.75" customHeight="true">
      <c r="B4" s="17">
        <v>2</v>
      </c>
      <c r="C4" s="18" t="s">
        <v>7</v>
      </c>
      <c r="D4" s="18" t="s">
        <v>8</v>
      </c>
      <c r="E4" s="19" t="s">
        <v>477</v>
      </c>
      <c r="F4" s="20" t="s"/>
    </row>
    <row r="5" spans="2:6" s="20" ht="30.75" customHeight="true">
      <c r="B5" s="21">
        <v>3</v>
      </c>
      <c r="C5" s="18" t="s">
        <v>9</v>
      </c>
      <c r="D5" s="18" t="s">
        <v>10</v>
      </c>
      <c r="E5" s="19" t="s">
        <v>478</v>
      </c>
      <c r="F5" s="20" t="s"/>
    </row>
    <row r="6" spans="2:6" s="20" ht="30.75" customHeight="true">
      <c r="B6" s="22">
        <v>4</v>
      </c>
      <c r="C6" s="18" t="s">
        <v>9</v>
      </c>
      <c r="D6" s="18" t="s">
        <v>11</v>
      </c>
      <c r="E6" s="19" t="s">
        <v>478</v>
      </c>
      <c r="F6" s="20" t="s"/>
    </row>
    <row r="7" spans="2:6" s="20" ht="30.75" customHeight="true">
      <c r="B7" s="21">
        <v>5</v>
      </c>
      <c r="C7" s="18" t="s">
        <v>12</v>
      </c>
      <c r="D7" s="18" t="s">
        <v>13</v>
      </c>
      <c r="E7" s="19" t="s">
        <v>479</v>
      </c>
      <c r="F7" s="20" t="s"/>
    </row>
    <row r="8" spans="2:6" s="20" ht="30.75" customHeight="true">
      <c r="B8" s="23">
        <v>6</v>
      </c>
      <c r="C8" s="24" t="s">
        <v>14</v>
      </c>
      <c r="D8" s="24" t="s">
        <v>15</v>
      </c>
      <c r="E8" s="25" t="s">
        <v>480</v>
      </c>
      <c r="F8" s="20" t="s"/>
    </row>
    <row r="9" spans="1:26" s="20" ht="30.75" customHeight="true">
      <c r="A9" s="4" t="s"/>
      <c r="B9" s="5" t="s"/>
      <c r="C9" s="6" t="s"/>
      <c r="D9" s="6" t="s"/>
      <c r="E9" s="5" t="s"/>
      <c r="F9" s="5" t="s"/>
      <c r="G9" s="6" t="s"/>
      <c r="H9" s="4" t="s"/>
      <c r="I9" s="4" t="s"/>
      <c r="J9" s="4" t="s"/>
      <c r="K9" s="4" t="s"/>
      <c r="L9" s="4" t="s"/>
      <c r="M9" s="4" t="s"/>
      <c r="N9" s="4" t="s"/>
      <c r="O9" s="4" t="s"/>
      <c r="P9" s="4" t="s"/>
      <c r="Q9" s="4" t="s"/>
      <c r="R9" s="4" t="s"/>
      <c r="S9" s="4" t="s"/>
      <c r="T9" s="4" t="s"/>
      <c r="U9" s="4" t="s"/>
      <c r="V9" s="4" t="s"/>
      <c r="W9" s="4" t="s"/>
      <c r="X9" s="4" t="s"/>
      <c r="Y9" s="4" t="s"/>
      <c r="Z9" s="4" t="s"/>
    </row>
    <row r="10" spans="1:26" s="20" ht="45" customHeight="true">
      <c r="A10" s="26" t="s"/>
      <c r="B10" s="27" t="s">
        <v>16</v>
      </c>
      <c r="C10" s="28" t="s"/>
      <c r="D10" s="28" t="s"/>
      <c r="E10" s="28" t="s"/>
      <c r="F10" s="28" t="s"/>
      <c r="G10" s="29" t="s"/>
      <c r="H10" s="26" t="s"/>
      <c r="I10" s="26" t="s"/>
      <c r="J10" s="26" t="s"/>
      <c r="K10" s="26" t="s"/>
      <c r="L10" s="26" t="s"/>
      <c r="M10" s="26" t="s"/>
      <c r="N10" s="26" t="s"/>
      <c r="O10" s="26" t="s"/>
      <c r="P10" s="26" t="s"/>
      <c r="Q10" s="26" t="s"/>
      <c r="R10" s="26" t="s"/>
      <c r="S10" s="26" t="s"/>
      <c r="T10" s="26" t="s"/>
      <c r="U10" s="26" t="s"/>
      <c r="V10" s="26" t="s"/>
      <c r="W10" s="26" t="s"/>
      <c r="X10" s="26" t="s"/>
      <c r="Y10" s="26" t="s"/>
      <c r="Z10" s="26" t="s"/>
    </row>
    <row r="11" spans="1:26" s="20" ht="29.25" customHeight="true">
      <c r="A11" s="26" t="s"/>
      <c r="B11" s="30" t="s">
        <v>1</v>
      </c>
      <c r="C11" s="30" t="s">
        <v>17</v>
      </c>
      <c r="D11" s="30" t="s">
        <v>17</v>
      </c>
      <c r="E11" s="30" t="s">
        <v>2</v>
      </c>
      <c r="F11" s="30" t="s">
        <v>18</v>
      </c>
      <c r="G11" s="30" t="s">
        <v>19</v>
      </c>
      <c r="H11" s="26" t="s"/>
      <c r="I11" s="26" t="s"/>
      <c r="J11" s="26" t="s"/>
      <c r="K11" s="26" t="s"/>
      <c r="L11" s="26" t="s"/>
      <c r="M11" s="26" t="s"/>
      <c r="N11" s="26" t="s"/>
      <c r="O11" s="26" t="s"/>
      <c r="P11" s="26" t="s"/>
      <c r="Q11" s="26" t="s"/>
      <c r="R11" s="26" t="s"/>
      <c r="S11" s="26" t="s"/>
      <c r="T11" s="26" t="s"/>
      <c r="U11" s="26" t="s"/>
      <c r="V11" s="26" t="s"/>
      <c r="W11" s="26" t="s"/>
      <c r="X11" s="26" t="s"/>
      <c r="Y11" s="26" t="s"/>
      <c r="Z11" s="26" t="s"/>
    </row>
    <row r="12" spans="2:7">
      <c r="B12" s="20">
        <v>1</v>
      </c>
      <c r="C12" s="20" t="s">
        <v>20</v>
      </c>
      <c r="D12" s="31" t="s">
        <v>21</v>
      </c>
      <c r="E12" s="20" t="s">
        <v>22</v>
      </c>
      <c r="F12" s="20" t="s">
        <v>23</v>
      </c>
      <c r="G12" s="31" t="s">
        <v>24</v>
      </c>
    </row>
    <row r="13" spans="2:6">
      <c r="B13" s="20">
        <v>2</v>
      </c>
      <c r="C13" s="20" t="s">
        <v>20</v>
      </c>
      <c r="D13" s="31" t="s">
        <v>25</v>
      </c>
      <c r="E13" s="20" t="s">
        <v>26</v>
      </c>
      <c r="F13" s="20" t="s">
        <v>23</v>
      </c>
    </row>
    <row r="14" spans="2:7">
      <c r="B14" s="20">
        <v>3</v>
      </c>
      <c r="C14" s="20" t="s">
        <v>20</v>
      </c>
      <c r="D14" s="31" t="s">
        <v>27</v>
      </c>
      <c r="E14" s="20" t="s">
        <v>22</v>
      </c>
      <c r="F14" s="20" t="s">
        <v>23</v>
      </c>
      <c r="G14" s="31" t="s">
        <v>28</v>
      </c>
    </row>
    <row r="15" spans="2:7">
      <c r="B15" s="20">
        <v>4</v>
      </c>
      <c r="C15" s="20" t="s">
        <v>29</v>
      </c>
      <c r="D15" s="31" t="s">
        <v>30</v>
      </c>
      <c r="E15" s="20" t="s">
        <v>22</v>
      </c>
      <c r="F15" s="20" t="s">
        <v>23</v>
      </c>
      <c r="G15" t="s">
        <v>31</v>
      </c>
    </row>
    <row r="16" spans="2:6">
      <c r="B16" s="20">
        <v>5</v>
      </c>
      <c r="C16" s="20" t="s">
        <v>32</v>
      </c>
      <c r="D16" s="31" t="s">
        <v>33</v>
      </c>
      <c r="E16" s="20" t="s">
        <v>34</v>
      </c>
      <c r="F16" s="20" t="s">
        <v>35</v>
      </c>
    </row>
    <row r="17" spans="2:7">
      <c r="B17" s="20">
        <v>6</v>
      </c>
      <c r="C17" s="20" t="s">
        <v>36</v>
      </c>
      <c r="D17" s="31" t="s">
        <v>37</v>
      </c>
      <c r="E17" s="20" t="s">
        <v>38</v>
      </c>
      <c r="F17" s="20" t="s">
        <v>39</v>
      </c>
      <c r="G17" s="31" t="s"/>
    </row>
    <row r="18" spans="2:7">
      <c r="B18" s="20">
        <v>7</v>
      </c>
      <c r="C18" s="20" t="s">
        <v>40</v>
      </c>
      <c r="D18" s="31" t="s">
        <v>41</v>
      </c>
      <c r="E18" s="20" t="s">
        <v>42</v>
      </c>
      <c r="F18" s="20" t="s">
        <v>43</v>
      </c>
      <c r="G18" s="31" t="s">
        <v>44</v>
      </c>
    </row>
    <row r="19" spans="2:7">
      <c r="B19" s="29">
        <v>8</v>
      </c>
      <c r="C19" s="29" t="s">
        <v>45</v>
      </c>
      <c r="D19" s="32" t="s">
        <v>481</v>
      </c>
      <c r="E19" s="29" t="s">
        <v>46</v>
      </c>
      <c r="F19" s="29" t="s">
        <v>47</v>
      </c>
      <c r="G19" s="32" t="s"/>
    </row>
    <row r="20" spans="2:7">
      <c r="B20" s="33">
        <v>9</v>
      </c>
      <c r="C20" s="33" t="s">
        <v>48</v>
      </c>
      <c r="D20" s="34" t="s">
        <v>49</v>
      </c>
      <c r="E20" s="33" t="s">
        <v>50</v>
      </c>
      <c r="F20" s="33" t="s">
        <v>23</v>
      </c>
      <c r="G20" s="34" t="s"/>
    </row>
    <row r="23" spans="1:26" s="20" ht="45" customHeight="true">
      <c r="A23" s="26" t="s"/>
      <c r="B23" s="27" t="s">
        <v>51</v>
      </c>
      <c r="C23" s="35" t="s"/>
      <c r="D23" s="35" t="s"/>
      <c r="E23" s="35" t="s"/>
      <c r="F23" s="35" t="s"/>
      <c r="G23" s="20" t="s"/>
      <c r="H23" s="26" t="s"/>
      <c r="I23" s="26" t="s"/>
      <c r="J23" s="26" t="s"/>
      <c r="K23" s="26" t="s"/>
      <c r="L23" s="26" t="s"/>
      <c r="M23" s="26" t="s"/>
      <c r="N23" s="26" t="s"/>
      <c r="O23" s="26" t="s"/>
      <c r="P23" s="26" t="s"/>
      <c r="Q23" s="26" t="s"/>
      <c r="R23" s="26" t="s"/>
      <c r="S23" s="26" t="s"/>
      <c r="T23" s="26" t="s"/>
      <c r="U23" s="26" t="s"/>
      <c r="V23" s="26" t="s"/>
      <c r="W23" s="26" t="s"/>
      <c r="X23" s="26" t="s"/>
      <c r="Y23" s="26" t="s"/>
      <c r="Z23" s="26" t="s"/>
    </row>
    <row r="24" spans="1:26" s="20" ht="29.25" customHeight="true">
      <c r="A24" s="26" t="s"/>
      <c r="B24" s="30" t="s">
        <v>52</v>
      </c>
      <c r="C24" s="30" t="s">
        <v>53</v>
      </c>
      <c r="D24" s="30" t="s">
        <v>54</v>
      </c>
      <c r="E24" s="30" t="s">
        <v>18</v>
      </c>
      <c r="F24" s="30" t="s">
        <v>55</v>
      </c>
      <c r="G24" s="30" t="s"/>
      <c r="H24" s="26" t="s"/>
      <c r="I24" s="26" t="s"/>
      <c r="J24" s="26" t="s"/>
      <c r="K24" s="26" t="s"/>
      <c r="L24" s="26" t="s"/>
      <c r="M24" s="26" t="s"/>
      <c r="N24" s="26" t="s"/>
      <c r="O24" s="26" t="s"/>
      <c r="P24" s="26" t="s"/>
      <c r="Q24" s="26" t="s"/>
      <c r="R24" s="26" t="s"/>
      <c r="S24" s="26" t="s"/>
      <c r="T24" s="26" t="s"/>
      <c r="U24" s="26" t="s"/>
      <c r="V24" s="26" t="s"/>
      <c r="W24" s="26" t="s"/>
      <c r="X24" s="26" t="s"/>
      <c r="Y24" s="26" t="s"/>
      <c r="Z24" s="26" t="s"/>
    </row>
    <row r="25" spans="2:6" ht="43.5" customHeight="true">
      <c r="B25" s="20" t="s">
        <v>56</v>
      </c>
      <c r="C25" t="s">
        <v>57</v>
      </c>
      <c r="D25" s="31" t="s">
        <v>58</v>
      </c>
      <c r="E25" s="20" t="s">
        <v>59</v>
      </c>
      <c r="F25" s="20" t="s">
        <v>482</v>
      </c>
    </row>
    <row r="26" spans="2:6" ht="43.5" customHeight="true">
      <c r="B26" s="20" t="s">
        <v>60</v>
      </c>
      <c r="C26" t="s">
        <v>61</v>
      </c>
      <c r="D26" s="31" t="s">
        <v>58</v>
      </c>
      <c r="E26" s="20" t="s">
        <v>62</v>
      </c>
      <c r="F26" s="20" t="s">
        <v>483</v>
      </c>
    </row>
    <row r="27" spans="2:6" ht="30.75" customHeight="true">
      <c r="B27" s="20" t="s">
        <v>63</v>
      </c>
      <c r="C27" s="31" t="s">
        <v>64</v>
      </c>
      <c r="D27" t="s">
        <v>65</v>
      </c>
      <c r="E27" s="20" t="s">
        <v>66</v>
      </c>
      <c r="F27" s="20" t="s">
        <v>484</v>
      </c>
    </row>
    <row r="28" spans="2:7" ht="30.75" customHeight="true">
      <c r="B28" s="20" t="s">
        <v>67</v>
      </c>
      <c r="C28" t="s">
        <v>68</v>
      </c>
      <c r="D28" s="31" t="s">
        <v>69</v>
      </c>
      <c r="E28" s="20" t="s">
        <v>70</v>
      </c>
      <c r="F28" s="20" t="s">
        <v>485</v>
      </c>
      <c r="G28" s="36" t="s"/>
    </row>
    <row r="29" spans="2:6" ht="30.75" customHeight="true">
      <c r="B29" s="20" t="s">
        <v>71</v>
      </c>
      <c r="C29" t="s">
        <v>72</v>
      </c>
      <c r="D29" s="31" t="s">
        <v>73</v>
      </c>
      <c r="E29" s="20" t="s">
        <v>74</v>
      </c>
      <c r="F29" s="20" t="s">
        <v>486</v>
      </c>
    </row>
    <row r="30" spans="2:6">
      <c r="B30" s="20" t="s">
        <v>75</v>
      </c>
      <c r="C30" t="s">
        <v>76</v>
      </c>
      <c r="D30" t="s">
        <v>77</v>
      </c>
      <c r="E30" s="20" t="s">
        <v>78</v>
      </c>
      <c r="F30" s="20" t="s">
        <v>487</v>
      </c>
    </row>
    <row r="31" spans="2:6" ht="30.75" customHeight="true">
      <c r="B31" s="20" t="s">
        <v>79</v>
      </c>
      <c r="C31" t="s">
        <v>80</v>
      </c>
      <c r="D31" t="s">
        <v>81</v>
      </c>
      <c r="E31" s="20" t="s">
        <v>82</v>
      </c>
      <c r="F31" s="20" t="s">
        <v>488</v>
      </c>
    </row>
    <row r="32" spans="2:7" s="20" ht="30.75" customHeight="true">
      <c r="B32" s="33" t="s">
        <v>83</v>
      </c>
      <c r="C32" s="37" t="s">
        <v>84</v>
      </c>
      <c r="D32" s="37" t="s">
        <v>85</v>
      </c>
      <c r="E32" s="33" t="s"/>
      <c r="F32" s="33" t="s"/>
      <c r="G32" s="38" t="s"/>
    </row>
    <row r="34" spans="2:6">
      <c r="B34" s="39" t="s">
        <v>86</v>
      </c>
      <c r="E34" s="35" t="s"/>
      <c r="F34" s="35" t="s"/>
    </row>
    <row r="35" spans="2:7">
      <c r="B35" s="40" t="s">
        <v>1</v>
      </c>
      <c r="C35" s="41" t="s">
        <v>87</v>
      </c>
      <c r="D35" s="40" t="s">
        <v>88</v>
      </c>
      <c r="E35" s="40" t="s">
        <v>89</v>
      </c>
      <c r="F35" s="40" t="s">
        <v>90</v>
      </c>
      <c r="G35" s="40" t="s">
        <v>2</v>
      </c>
    </row>
    <row r="36" spans="2:7">
      <c r="B36" s="20">
        <v>1</v>
      </c>
      <c r="C36" s="33" t="s">
        <v>20</v>
      </c>
      <c r="D36" s="31" t="s">
        <v>91</v>
      </c>
      <c r="E36" s="20" t="s">
        <v>92</v>
      </c>
      <c r="F36" s="20" t="s">
        <v>93</v>
      </c>
      <c r="G36" s="31" t="s"/>
    </row>
    <row r="37" spans="2:7">
      <c r="B37" s="20">
        <v>2</v>
      </c>
      <c r="C37" s="38" t="s"/>
      <c r="D37" s="42" t="s">
        <v>94</v>
      </c>
      <c r="E37" s="43" t="s">
        <v>92</v>
      </c>
      <c r="F37" s="43" t="s">
        <v>26</v>
      </c>
      <c r="G37" s="44" t="s">
        <v>95</v>
      </c>
    </row>
    <row r="38" spans="2:7">
      <c r="B38" s="20">
        <v>3</v>
      </c>
      <c r="C38" s="38" t="s"/>
      <c r="D38" s="45" t="s">
        <v>96</v>
      </c>
      <c r="E38" s="33" t="s">
        <v>92</v>
      </c>
      <c r="F38" s="33" t="s">
        <v>93</v>
      </c>
      <c r="G38" s="45" t="s">
        <v>97</v>
      </c>
    </row>
    <row r="39" spans="2:7">
      <c r="B39" s="20">
        <v>5</v>
      </c>
      <c r="C39" s="33" t="s"/>
      <c r="D39" s="46" t="s">
        <v>98</v>
      </c>
      <c r="E39" s="43" t="s">
        <v>99</v>
      </c>
      <c r="F39" s="43" t="s">
        <v>100</v>
      </c>
      <c r="G39" s="43" t="s"/>
    </row>
    <row r="40" spans="2:7">
      <c r="B40" s="20">
        <v>6</v>
      </c>
      <c r="C40" s="38" t="s"/>
      <c r="D40" s="47" t="s">
        <v>101</v>
      </c>
      <c r="E40" s="20" t="s">
        <v>99</v>
      </c>
      <c r="F40" s="20" t="s">
        <v>93</v>
      </c>
      <c r="G40" s="20" t="s">
        <v>31</v>
      </c>
    </row>
    <row r="41" spans="2:7">
      <c r="B41" s="20">
        <v>7</v>
      </c>
      <c r="C41" s="38" t="s"/>
      <c r="D41" s="48" t="s">
        <v>102</v>
      </c>
      <c r="E41" s="49" t="s">
        <v>99</v>
      </c>
      <c r="F41" s="49" t="s"/>
      <c r="G41" s="49" t="s">
        <v>100</v>
      </c>
    </row>
    <row r="42" spans="2:7">
      <c r="B42" s="20">
        <v>8</v>
      </c>
      <c r="C42" s="33" t="s">
        <v>32</v>
      </c>
      <c r="D42" s="45" t="s">
        <v>103</v>
      </c>
      <c r="E42" s="33" t="s">
        <v>92</v>
      </c>
      <c r="F42" s="33" t="s">
        <v>34</v>
      </c>
      <c r="G42" s="50" t="s"/>
    </row>
    <row r="43" spans="2:7">
      <c r="B43" s="20">
        <v>9</v>
      </c>
      <c r="C43" s="33" t="s">
        <v>36</v>
      </c>
      <c r="D43" s="46" t="s">
        <v>104</v>
      </c>
      <c r="E43" s="43" t="s">
        <v>92</v>
      </c>
      <c r="F43" s="43" t="s">
        <v>38</v>
      </c>
      <c r="G43" s="46" t="s"/>
    </row>
    <row r="44" spans="2:7">
      <c r="B44" s="20">
        <v>10</v>
      </c>
      <c r="C44" s="38" t="s"/>
      <c r="D44" s="47" t="s">
        <v>105</v>
      </c>
      <c r="E44" s="20" t="s">
        <v>92</v>
      </c>
      <c r="F44" s="20" t="s">
        <v>42</v>
      </c>
      <c r="G44" s="31" t="s">
        <v>44</v>
      </c>
    </row>
    <row r="45" spans="2:7">
      <c r="B45" s="20">
        <v>11</v>
      </c>
      <c r="C45" s="38" t="s"/>
      <c r="D45" s="51" t="s">
        <v>106</v>
      </c>
      <c r="E45" s="49" t="s">
        <v>47</v>
      </c>
      <c r="F45" s="49" t="s">
        <v>46</v>
      </c>
      <c r="G45" s="52" t="s"/>
    </row>
    <row r="46" spans="2:7">
      <c r="B46" s="20">
        <v>12</v>
      </c>
      <c r="C46" s="33" t="s">
        <v>48</v>
      </c>
      <c r="D46" s="45" t="s">
        <v>49</v>
      </c>
      <c r="E46" s="33" t="s">
        <v>92</v>
      </c>
      <c r="F46" s="33" t="s">
        <v>50</v>
      </c>
      <c r="G46" s="34" t="s"/>
    </row>
    <row r="50" spans="2:7" ht="45" customHeight="true">
      <c r="B50" s="27" t="s">
        <v>107</v>
      </c>
      <c r="C50" s="53" t="s"/>
      <c r="D50" s="53" t="s"/>
      <c r="E50" s="53" t="s"/>
      <c r="F50" s="53" t="s"/>
      <c r="G50" s="54" t="s"/>
    </row>
    <row r="51" spans="2:7" ht="29.25" customHeight="true">
      <c r="B51" s="30" t="s">
        <v>108</v>
      </c>
      <c r="C51" s="30" t="s">
        <v>17</v>
      </c>
      <c r="D51" s="30" t="s">
        <v>109</v>
      </c>
      <c r="E51" s="30" t="s">
        <v>110</v>
      </c>
      <c r="F51" s="30" t="s">
        <v>18</v>
      </c>
      <c r="G51" s="30" t="s">
        <v>2</v>
      </c>
    </row>
    <row r="52" spans="4:6" ht="39.75" customHeight="true">
      <c r="D52" t="s">
        <v>111</v>
      </c>
      <c r="E52" s="20" t="s">
        <v>112</v>
      </c>
      <c r="F52" s="29" t="s">
        <v>113</v>
      </c>
    </row>
    <row r="53" spans="4:6" ht="39.75" customHeight="true">
      <c r="D53" t="s">
        <v>114</v>
      </c>
      <c r="E53" s="20" t="s">
        <v>112</v>
      </c>
      <c r="F53" s="29" t="s">
        <v>113</v>
      </c>
    </row>
    <row r="54" spans="2:7" ht="39.75" customHeight="true">
      <c r="B54" s="33" t="s"/>
      <c r="C54" s="38" t="s"/>
      <c r="D54" s="34" t="s">
        <v>115</v>
      </c>
      <c r="E54" s="33" t="s">
        <v>112</v>
      </c>
      <c r="F54" s="33" t="s">
        <v>113</v>
      </c>
      <c r="G54" s="38" t="s"/>
    </row>
    <row r="56" spans="2:7" ht="45" customHeight="true">
      <c r="B56" s="27" t="s">
        <v>116</v>
      </c>
      <c r="C56" s="53" t="s"/>
      <c r="D56" s="53" t="s"/>
      <c r="E56" s="53" t="s"/>
      <c r="F56" s="53" t="s"/>
      <c r="G56" s="54" t="s"/>
    </row>
    <row r="57" spans="2:7" ht="29.25" customHeight="true">
      <c r="B57" s="30" t="s">
        <v>108</v>
      </c>
      <c r="C57" s="30" t="s">
        <v>17</v>
      </c>
      <c r="D57" s="30" t="s">
        <v>109</v>
      </c>
      <c r="E57" s="30" t="s">
        <v>110</v>
      </c>
      <c r="F57" s="30" t="s">
        <v>18</v>
      </c>
      <c r="G57" s="30" t="s">
        <v>2</v>
      </c>
    </row>
    <row r="58" spans="2:7" ht="29.25" customHeight="true">
      <c r="B58" s="55" t="s"/>
      <c r="C58" s="56" t="s">
        <v>117</v>
      </c>
      <c r="D58" s="56" t="s">
        <v>118</v>
      </c>
      <c r="E58" s="55" t="s"/>
      <c r="F58" s="29" t="s">
        <v>113</v>
      </c>
      <c r="G58" s="56" t="s">
        <v>26</v>
      </c>
    </row>
    <row r="59" spans="2:7" ht="29.25" customHeight="true">
      <c r="B59" s="55" t="s"/>
      <c r="C59" s="56" t="s">
        <v>119</v>
      </c>
      <c r="D59" s="56" t="s">
        <v>120</v>
      </c>
      <c r="E59" s="55" t="s"/>
      <c r="F59" s="29" t="s">
        <v>113</v>
      </c>
      <c r="G59" s="56" t="s"/>
    </row>
    <row r="60" spans="2:7" ht="29.25" customHeight="true">
      <c r="B60" s="57" t="s"/>
      <c r="C60" s="58" t="s">
        <v>121</v>
      </c>
      <c r="D60" s="58" t="s">
        <v>122</v>
      </c>
      <c r="E60" s="57" t="s"/>
      <c r="F60" s="33" t="s">
        <v>113</v>
      </c>
      <c r="G60" s="58" t="s"/>
    </row>
    <row r="61" spans="2:7" ht="29.25" customHeight="true">
      <c r="B61" s="55" t="s"/>
      <c r="C61" s="56" t="s"/>
      <c r="D61" s="56" t="s"/>
      <c r="E61" s="55" t="s"/>
      <c r="F61" s="55" t="s"/>
      <c r="G61" s="56" t="s"/>
    </row>
  </sheetData>
  <mergeCells count="8">
    <mergeCell ref="B50:G50"/>
    <mergeCell ref="B56:G56"/>
    <mergeCell ref="B23:G23"/>
    <mergeCell ref="B10:G10"/>
    <mergeCell ref="B34:G34"/>
    <mergeCell ref="C36:C38"/>
    <mergeCell ref="C39:C41"/>
    <mergeCell ref="C43:C45"/>
  </mergeCells>
  <hyperlinks>
    <hyperlink ref="E3" r:id="rId0"/>
    <hyperlink ref="E4" r:id="rId1"/>
    <hyperlink ref="E5" r:id="rId2"/>
    <hyperlink ref="E6" r:id="rId2"/>
    <hyperlink ref="E7" r:id="rId3"/>
    <hyperlink ref="E8" r:id="rId4"/>
    <hyperlink ref="D19" r:id="rId5"/>
    <hyperlink ref="F25" r:id="rId6"/>
    <hyperlink ref="F26" r:id="rId7"/>
    <hyperlink ref="F27" r:id="rId8"/>
    <hyperlink ref="F28" r:id="rId9"/>
    <hyperlink ref="F29" r:id="rId10"/>
    <hyperlink ref="F30" r:id="rId11"/>
    <hyperlink ref="F31" r:id="rId12"/>
  </hyperlinks>
</worksheet>
</file>

<file path=xl/worksheets/sheet2.xml><?xml version="1.0" encoding="utf-8"?>
<worksheet xmlns="http://schemas.openxmlformats.org/spreadsheetml/2006/main">
  <sheetPr codeName="国外寄回">
    <tabColor rgb="FFFFFFFF"/>
  </sheetPr>
  <dimension ref="Z7"/>
  <sheetViews>
    <sheetView showGridLines="true" workbookViewId="0"/>
  </sheetViews>
  <cols>
    <col min="1" max="1" width="2.96094" customWidth="true"/>
    <col min="4" max="4" width="56.1211" customWidth="true"/>
    <col min="6" max="6" width="21.7227" customWidth="true"/>
  </cols>
  <sheetData>
    <row r="2" spans="2:2" ht="45" customHeight="true">
      <c r="B2" s="106" t="s">
        <v>187</v>
      </c>
    </row>
    <row r="3" spans="2:7" ht="29.25" customHeight="true">
      <c r="B3" s="30" t="s">
        <v>108</v>
      </c>
      <c r="C3" s="30" t="s">
        <v>17</v>
      </c>
      <c r="D3" s="30" t="s">
        <v>109</v>
      </c>
      <c r="E3" s="30" t="s">
        <v>110</v>
      </c>
      <c r="F3" s="30" t="s">
        <v>18</v>
      </c>
      <c r="G3" s="30" t="s">
        <v>2</v>
      </c>
    </row>
    <row r="4" spans="2:7" ht="35.25" customHeight="true">
      <c r="B4" s="107" t="s">
        <v>188</v>
      </c>
      <c r="C4" s="107" t="s">
        <v>20</v>
      </c>
      <c r="D4" s="108" t="s">
        <v>189</v>
      </c>
      <c r="E4" s="107" t="s">
        <v>112</v>
      </c>
      <c r="F4" s="107" t="s">
        <v>190</v>
      </c>
      <c r="G4" s="107" t="s">
        <v>93</v>
      </c>
    </row>
    <row r="5" spans="2:7" ht="35.25" customHeight="true">
      <c r="B5" s="109" t="s">
        <v>188</v>
      </c>
      <c r="C5" s="109" t="s">
        <v>191</v>
      </c>
      <c r="D5" s="110" t="s">
        <v>98</v>
      </c>
      <c r="E5" s="109" t="s">
        <v>112</v>
      </c>
      <c r="F5" s="109" t="s">
        <v>192</v>
      </c>
      <c r="G5" s="109" t="s">
        <v>100</v>
      </c>
    </row>
    <row r="6" spans="1:26" s="111" ht="35.25" customHeight="true">
      <c r="A6" s="111" t="s"/>
      <c r="B6" s="112" t="s">
        <v>188</v>
      </c>
      <c r="C6" s="112" t="s">
        <v>191</v>
      </c>
      <c r="D6" s="113" t="s">
        <v>193</v>
      </c>
      <c r="E6" s="114" t="s">
        <v>112</v>
      </c>
      <c r="F6" s="112" t="s">
        <v>190</v>
      </c>
      <c r="G6" s="112" t="s">
        <v>93</v>
      </c>
      <c r="H6" s="111" t="s"/>
      <c r="I6" s="111" t="s"/>
      <c r="J6" s="111" t="s"/>
      <c r="K6" s="111" t="s"/>
      <c r="L6" s="111" t="s"/>
      <c r="M6" s="111" t="s"/>
      <c r="N6" s="111" t="s"/>
      <c r="O6" s="111" t="s"/>
      <c r="P6" s="111" t="s"/>
      <c r="Q6" s="111" t="s"/>
      <c r="R6" s="111" t="s"/>
      <c r="S6" s="111" t="s"/>
      <c r="T6" s="111" t="s"/>
      <c r="U6" s="111" t="s"/>
      <c r="V6" s="111" t="s"/>
      <c r="W6" s="111" t="s"/>
      <c r="X6" s="111" t="s"/>
      <c r="Y6" s="111" t="s"/>
      <c r="Z6" s="111" t="s"/>
    </row>
    <row r="7" spans="1:26" s="111" ht="35.25" customHeight="true">
      <c r="A7" s="111" t="s"/>
      <c r="B7" s="115" t="s">
        <v>188</v>
      </c>
      <c r="C7" s="115" t="s">
        <v>194</v>
      </c>
      <c r="D7" s="116" t="s">
        <v>102</v>
      </c>
      <c r="E7" s="115" t="s">
        <v>112</v>
      </c>
      <c r="F7" s="115" t="s">
        <v>192</v>
      </c>
      <c r="G7" s="115" t="s">
        <v>100</v>
      </c>
      <c r="H7" s="111" t="s"/>
      <c r="I7" s="111" t="s"/>
      <c r="J7" s="111" t="s"/>
      <c r="K7" s="111" t="s"/>
      <c r="L7" s="111" t="s"/>
      <c r="M7" s="111" t="s"/>
      <c r="N7" s="111" t="s"/>
      <c r="O7" s="111" t="s"/>
      <c r="P7" s="111" t="s"/>
      <c r="Q7" s="111" t="s"/>
      <c r="R7" s="111" t="s"/>
      <c r="S7" s="111" t="s"/>
      <c r="T7" s="111" t="s"/>
      <c r="U7" s="111" t="s"/>
      <c r="V7" s="111" t="s"/>
      <c r="W7" s="111" t="s"/>
      <c r="X7" s="111" t="s"/>
      <c r="Y7" s="111" t="s"/>
      <c r="Z7" s="111" t="s"/>
    </row>
  </sheetData>
  <mergeCells count="1">
    <mergeCell ref="B2:G2"/>
  </mergeCells>
</worksheet>
</file>

<file path=xl/worksheets/sheet3.xml><?xml version="1.0" encoding="utf-8"?>
<worksheet xmlns="http://schemas.openxmlformats.org/spreadsheetml/2006/main">
  <sheetPr codeName="经销商返修记录（23年）"/>
  <dimension ref="P222"/>
  <sheetViews>
    <sheetView showGridLines="true" rightToLeft="false" workbookViewId="0">
      <pane ySplit="1" topLeftCell="A2" state="frozen"/>
    </sheetView>
  </sheetViews>
  <cols>
    <col min="1" max="1" width="7.82422" customWidth="true"/>
    <col min="2" max="2" width="17.6719" customWidth="true"/>
    <col min="3" max="3" width="22.1328" customWidth="true"/>
    <col min="4" max="4" width="19.293" style="20" customWidth="true"/>
    <col min="5" max="5" width="46.5547" customWidth="true"/>
    <col min="6" max="6" width="48.4414" style="140" customWidth="true"/>
    <col min="7" max="8" width="18.3516" style="20" customWidth="true"/>
    <col min="9" max="9" width="18.3516" customWidth="true"/>
    <col min="11" max="11" width="17.1328" customWidth="true"/>
    <col min="12" max="12" width="21.7227" customWidth="true"/>
    <col min="14" max="14" width="18.2109" customWidth="true"/>
    <col min="15" max="15" width="18.3516" customWidth="true"/>
    <col min="16" max="16" width="27.1211" customWidth="true"/>
  </cols>
  <sheetData>
    <row r="1" spans="1:16" ht="55" customHeight="true">
      <c r="A1" s="123" t="s">
        <v>1</v>
      </c>
      <c r="B1" s="124" t="s">
        <v>219</v>
      </c>
      <c r="C1" s="123" t="s">
        <v>220</v>
      </c>
      <c r="D1" s="125" t="s">
        <v>221</v>
      </c>
      <c r="E1" s="125" t="s">
        <v>222</v>
      </c>
      <c r="F1" s="126" t="s">
        <v>223</v>
      </c>
      <c r="G1" s="123" t="s">
        <v>224</v>
      </c>
      <c r="H1" s="123" t="s">
        <v>225</v>
      </c>
      <c r="I1" s="123" t="s">
        <v>226</v>
      </c>
      <c r="J1" s="127" t="s">
        <v>227</v>
      </c>
      <c r="K1" s="123" t="s">
        <v>52</v>
      </c>
      <c r="L1" s="123" t="s">
        <v>219</v>
      </c>
      <c r="M1" s="127" t="s">
        <v>18</v>
      </c>
      <c r="N1" s="125" t="s">
        <v>228</v>
      </c>
      <c r="O1" s="123" t="s">
        <v>229</v>
      </c>
      <c r="P1" s="125" t="s">
        <v>19</v>
      </c>
    </row>
    <row r="2" spans="1:16" customHeight="false">
      <c r="A2" s="128">
        <f>=ROW(A2)-1</f>
        <v>1</v>
      </c>
      <c r="B2" s="128" t="s"/>
      <c r="C2" s="129" t="s">
        <v>230</v>
      </c>
      <c r="D2" s="129" t="s">
        <v>231</v>
      </c>
      <c r="E2" s="130" t="s">
        <v>232</v>
      </c>
      <c r="G2" s="131">
        <v>45352</v>
      </c>
      <c r="H2" s="131" t="s"/>
      <c r="I2" s="131" t="s"/>
      <c r="J2" s="132" t="s"/>
      <c r="K2" s="133" t="s"/>
      <c r="L2" s="134" t="s"/>
      <c r="M2" s="135" t="s"/>
      <c r="N2" s="136" t="s">
        <v>233</v>
      </c>
      <c r="O2" s="131" t="s"/>
      <c r="P2" s="108" t="s"/>
    </row>
    <row r="3" spans="1:16" customHeight="false">
      <c r="A3" s="137">
        <f>=ROW(A3)-1</f>
        <v>2</v>
      </c>
      <c r="B3" s="128" t="s"/>
      <c r="C3" s="129" t="s">
        <v>230</v>
      </c>
      <c r="D3" s="129" t="s">
        <v>234</v>
      </c>
      <c r="E3" s="136" t="s">
        <v>235</v>
      </c>
      <c r="F3" s="138" t="s">
        <v>236</v>
      </c>
      <c r="G3" s="131">
        <v>45276</v>
      </c>
      <c r="H3" s="131">
        <v>45321</v>
      </c>
      <c r="I3" s="131">
        <f>=G3+30</f>
        <v>45306</v>
      </c>
      <c r="J3" s="132">
        <f>=H3-G3</f>
        <v>45</v>
      </c>
      <c r="K3" s="133" t="s">
        <v>175</v>
      </c>
      <c r="L3" s="134" t="s"/>
      <c r="M3" s="135" t="s">
        <v>237</v>
      </c>
      <c r="N3" s="136" t="s"/>
      <c r="O3" s="131" t="s"/>
      <c r="P3" s="108" t="s"/>
    </row>
    <row r="4" spans="1:18" customHeight="false">
      <c r="A4" s="128">
        <f>=ROW(A4)-1</f>
        <v>3</v>
      </c>
      <c r="B4" s="128" t="s">
        <v>238</v>
      </c>
      <c r="C4" s="129" t="s">
        <v>230</v>
      </c>
      <c r="D4" s="129" t="s">
        <v>239</v>
      </c>
      <c r="E4" s="136" t="s">
        <v>240</v>
      </c>
      <c r="F4" s="138" t="s"/>
      <c r="G4" s="131">
        <v>45288</v>
      </c>
      <c r="H4" s="131" t="s"/>
      <c r="I4" s="131" t="s"/>
      <c r="J4" s="132" t="s"/>
      <c r="K4" s="133" t="s">
        <v>56</v>
      </c>
      <c r="L4" s="139" t="s"/>
      <c r="M4" s="135" t="s">
        <v>241</v>
      </c>
      <c r="O4" s="131" t="s"/>
      <c r="P4" s="136" t="s">
        <v>242</v>
      </c>
      <c r="R4" s="140" t="s"/>
    </row>
    <row r="5" spans="1:18" customHeight="false">
      <c r="A5" s="128">
        <f>=ROW(A5)-1</f>
        <v>4</v>
      </c>
      <c r="B5" s="128" t="s">
        <v>243</v>
      </c>
      <c r="C5" s="129" t="s">
        <v>230</v>
      </c>
      <c r="D5" s="129" t="s">
        <v>231</v>
      </c>
      <c r="E5" s="136" t="s">
        <v>244</v>
      </c>
      <c r="F5" s="130" t="s">
        <v>245</v>
      </c>
      <c r="G5" s="131">
        <v>45302</v>
      </c>
      <c r="H5" s="131" t="s"/>
      <c r="I5" s="131" t="s"/>
      <c r="J5" s="141" t="s"/>
      <c r="K5" s="133" t="s">
        <v>246</v>
      </c>
      <c r="L5" s="142" t="s"/>
      <c r="M5" s="143" t="s">
        <v>246</v>
      </c>
      <c r="O5" s="131" t="s"/>
      <c r="P5" s="136" t="s"/>
      <c r="Q5" s="131" t="s"/>
      <c r="R5" s="141" t="s"/>
    </row>
    <row r="6" spans="1:18" customHeight="false">
      <c r="A6" s="128">
        <f>=ROW(A6)-1</f>
        <v>5</v>
      </c>
      <c r="B6" s="128" t="s">
        <v>247</v>
      </c>
      <c r="C6" s="129" t="s">
        <v>248</v>
      </c>
      <c r="D6" s="129" t="s">
        <v>249</v>
      </c>
      <c r="E6" s="136" t="s">
        <v>250</v>
      </c>
      <c r="F6" s="138" t="s">
        <v>251</v>
      </c>
      <c r="G6" s="131">
        <v>45308</v>
      </c>
      <c r="H6" s="131" t="s"/>
      <c r="I6" s="131" t="s"/>
      <c r="J6" s="141" t="s"/>
      <c r="K6" s="133" t="s">
        <v>252</v>
      </c>
      <c r="L6" s="144" t="s"/>
      <c r="M6" s="143" t="s">
        <v>62</v>
      </c>
      <c r="N6" s="136" t="s">
        <v>253</v>
      </c>
      <c r="O6" s="131">
        <v>45056</v>
      </c>
      <c r="P6" s="108" t="s"/>
      <c r="R6" s="140" t="s"/>
    </row>
    <row r="7" spans="1:18" customHeight="false">
      <c r="A7" s="128">
        <f>=ROW(A7)-1</f>
        <v>6</v>
      </c>
      <c r="B7" s="128" t="s">
        <v>254</v>
      </c>
      <c r="C7" s="129" t="s">
        <v>248</v>
      </c>
      <c r="D7" s="129" t="s">
        <v>255</v>
      </c>
      <c r="E7" s="145" t="s">
        <v>256</v>
      </c>
      <c r="F7" s="130" t="s">
        <v>257</v>
      </c>
      <c r="G7" s="131">
        <v>45273</v>
      </c>
      <c r="H7" s="146">
        <v>45345</v>
      </c>
      <c r="I7" s="131" t="s"/>
      <c r="J7" s="141">
        <f>=H7-G7</f>
        <v>72</v>
      </c>
      <c r="K7" s="133" t="s">
        <v>246</v>
      </c>
      <c r="L7" s="147" t="s"/>
      <c r="M7" s="143" t="s">
        <v>258</v>
      </c>
      <c r="N7" s="148" t="s"/>
      <c r="O7" s="149" t="s"/>
      <c r="P7" s="150" t="s">
        <v>259</v>
      </c>
      <c r="R7" s="140" t="s"/>
    </row>
    <row r="8" spans="1:16" customHeight="false">
      <c r="A8" s="128">
        <f>=ROW(A8)-1</f>
        <v>7</v>
      </c>
      <c r="B8" s="128" t="s">
        <v>260</v>
      </c>
      <c r="C8" s="129" t="s">
        <v>248</v>
      </c>
      <c r="D8" s="129" t="s">
        <v>261</v>
      </c>
      <c r="E8" s="136" t="s">
        <v>262</v>
      </c>
      <c r="F8" s="138" t="s">
        <v>263</v>
      </c>
      <c r="G8" s="131">
        <v>45337</v>
      </c>
      <c r="H8" s="131" t="s"/>
      <c r="I8" s="131" t="s"/>
      <c r="J8" s="132" t="s"/>
      <c r="K8" s="133" t="s"/>
      <c r="L8" s="144" t="s"/>
      <c r="M8" s="135" t="s"/>
      <c r="O8" s="131" t="s"/>
      <c r="P8" s="136" t="s"/>
    </row>
    <row r="9" spans="1:16" customHeight="false">
      <c r="A9" s="128">
        <f>=ROW(A9)-1</f>
        <v>8</v>
      </c>
      <c r="B9" s="128" t="s">
        <v>264</v>
      </c>
      <c r="C9" s="129" t="s">
        <v>248</v>
      </c>
      <c r="D9" s="129" t="s">
        <v>231</v>
      </c>
      <c r="E9" s="136" t="s">
        <v>265</v>
      </c>
      <c r="F9" s="138" t="s">
        <v>266</v>
      </c>
      <c r="G9" s="131">
        <v>45301</v>
      </c>
      <c r="H9" s="131" t="s"/>
      <c r="I9" s="131" t="s"/>
      <c r="J9" s="132" t="s"/>
      <c r="K9" s="133" t="s"/>
      <c r="L9" s="134" t="s"/>
      <c r="M9" s="135" t="s"/>
      <c r="O9" s="131" t="s"/>
      <c r="P9" s="136" t="s"/>
    </row>
    <row r="10" spans="1:16" ht="18.75" customHeight="false">
      <c r="A10" s="128">
        <f>=ROW(A10)-1</f>
        <v>9</v>
      </c>
      <c r="B10" s="128" t="s">
        <v>267</v>
      </c>
      <c r="C10" s="129" t="s">
        <v>248</v>
      </c>
      <c r="D10" s="129" t="s">
        <v>231</v>
      </c>
      <c r="E10" s="136" t="s">
        <v>268</v>
      </c>
      <c r="F10" s="138" t="s">
        <v>269</v>
      </c>
      <c r="G10" s="131">
        <v>45314</v>
      </c>
      <c r="H10" s="131">
        <v>45345</v>
      </c>
      <c r="I10" s="131" t="s"/>
      <c r="J10" s="132">
        <f>=H10-G10</f>
        <v>31</v>
      </c>
      <c r="K10" s="133" t="s">
        <v>252</v>
      </c>
      <c r="L10" s="134" t="s"/>
      <c r="M10" s="135" t="s"/>
      <c r="O10" s="131" t="s"/>
      <c r="P10" s="136" t="s"/>
    </row>
    <row r="11" spans="1:16" ht="49.5" customHeight="true">
      <c r="A11" s="128">
        <f>=ROW(A11)-1</f>
        <v>10</v>
      </c>
      <c r="B11" s="128" t="s">
        <v>270</v>
      </c>
      <c r="C11" s="129" t="s">
        <v>271</v>
      </c>
      <c r="D11" s="129" t="s">
        <v>239</v>
      </c>
      <c r="E11" s="136" t="s">
        <v>505</v>
      </c>
      <c r="F11" s="138" t="s"/>
      <c r="G11" s="131">
        <v>45280</v>
      </c>
      <c r="H11" s="131">
        <v>45282</v>
      </c>
      <c r="I11" s="131">
        <f>=G11+30</f>
        <v>45310</v>
      </c>
      <c r="J11" s="132">
        <f>=H11-G11</f>
        <v>2</v>
      </c>
      <c r="K11" s="133" t="s">
        <v>272</v>
      </c>
      <c r="L11" s="134" t="s">
        <v>43</v>
      </c>
      <c r="M11" s="135" t="s">
        <v>82</v>
      </c>
      <c r="N11" s="136" t="s">
        <v>273</v>
      </c>
      <c r="O11" s="131">
        <v>45041</v>
      </c>
      <c r="P11" s="108" t="s"/>
    </row>
    <row r="12" spans="1:16" customHeight="false">
      <c r="A12" s="128">
        <f>=ROW(A12)-1</f>
        <v>11</v>
      </c>
      <c r="B12" s="128" t="s">
        <v>274</v>
      </c>
      <c r="C12" s="129" t="s">
        <v>271</v>
      </c>
      <c r="D12" s="129" t="s">
        <v>239</v>
      </c>
      <c r="E12" s="136" t="s">
        <v>275</v>
      </c>
      <c r="F12" s="138" t="s"/>
      <c r="G12" s="131">
        <v>45280</v>
      </c>
      <c r="H12" s="131">
        <v>45282</v>
      </c>
      <c r="I12" s="131">
        <f>=G12+30</f>
        <v>45310</v>
      </c>
      <c r="J12" s="132">
        <f>=H12-G12</f>
        <v>2</v>
      </c>
      <c r="K12" s="133" t="s">
        <v>272</v>
      </c>
      <c r="L12" s="134" t="s">
        <v>43</v>
      </c>
      <c r="M12" s="135" t="s">
        <v>82</v>
      </c>
      <c r="N12" s="136" t="s">
        <v>276</v>
      </c>
      <c r="O12" s="131">
        <v>45160</v>
      </c>
      <c r="P12" s="108" t="s"/>
    </row>
    <row r="13" spans="1:16" customHeight="false">
      <c r="A13" s="128">
        <f>=ROW(A13)-1</f>
        <v>12</v>
      </c>
      <c r="B13" s="128" t="s"/>
      <c r="C13" s="129" t="s">
        <v>277</v>
      </c>
      <c r="D13" s="129" t="s">
        <v>234</v>
      </c>
      <c r="E13" s="136" t="s">
        <v>278</v>
      </c>
      <c r="F13" s="138" t="s">
        <v>279</v>
      </c>
      <c r="G13" s="131">
        <v>45345</v>
      </c>
      <c r="H13" s="131" t="s"/>
      <c r="I13" s="131" t="s"/>
      <c r="J13" s="132" t="s"/>
      <c r="K13" s="133" t="s">
        <v>71</v>
      </c>
      <c r="L13" s="134" t="s"/>
      <c r="M13" s="135" t="s"/>
      <c r="N13" t="s">
        <v>280</v>
      </c>
      <c r="O13" s="131" t="s"/>
      <c r="P13" s="136" t="s"/>
    </row>
    <row r="14" spans="1:16" customHeight="false">
      <c r="A14" s="151">
        <f>=ROW(A14)-1</f>
        <v>13</v>
      </c>
      <c r="B14" s="128" t="s"/>
      <c r="C14" s="129" t="s">
        <v>281</v>
      </c>
      <c r="D14" s="129" t="s">
        <v>239</v>
      </c>
      <c r="E14" s="136" t="s">
        <v>268</v>
      </c>
      <c r="F14" s="138" t="s">
        <v>282</v>
      </c>
      <c r="G14" s="131">
        <v>45345</v>
      </c>
      <c r="H14" s="131">
        <v>45348</v>
      </c>
      <c r="I14" s="131" t="s"/>
      <c r="J14" s="132">
        <f>=H14-G14</f>
        <v>3</v>
      </c>
      <c r="K14" s="133" t="s">
        <v>252</v>
      </c>
      <c r="L14" s="134" t="s"/>
      <c r="M14" s="135" t="s"/>
      <c r="N14" t="s">
        <v>280</v>
      </c>
      <c r="O14" s="131" t="s"/>
      <c r="P14" s="136" t="s"/>
    </row>
    <row r="15" spans="1:16" customHeight="false">
      <c r="A15" s="128">
        <f>=ROW(A15)-1</f>
        <v>14</v>
      </c>
      <c r="B15" s="128" t="s"/>
      <c r="C15" s="129" t="s">
        <v>281</v>
      </c>
      <c r="D15" s="129" t="s">
        <v>231</v>
      </c>
      <c r="E15" s="136" t="s">
        <v>283</v>
      </c>
      <c r="F15" s="138" t="s">
        <v>284</v>
      </c>
      <c r="G15" s="131">
        <v>45273</v>
      </c>
      <c r="H15" s="131" t="s"/>
      <c r="I15" s="131">
        <f>=G15+30</f>
        <v>45303</v>
      </c>
      <c r="J15" s="132" t="s"/>
      <c r="K15" s="133" t="s">
        <v>252</v>
      </c>
      <c r="L15" s="134" t="s">
        <v>506</v>
      </c>
      <c r="M15" s="135" t="s">
        <v>258</v>
      </c>
      <c r="N15" s="108" t="s"/>
      <c r="O15" s="131" t="s"/>
      <c r="P15" s="108" t="s"/>
    </row>
    <row r="16" spans="1:16" customHeight="false">
      <c r="A16" s="128">
        <f>=ROW(A16)-1</f>
        <v>15</v>
      </c>
      <c r="B16" s="128" t="s">
        <v>285</v>
      </c>
      <c r="C16" s="129" t="s">
        <v>286</v>
      </c>
      <c r="D16" s="129" t="s">
        <v>231</v>
      </c>
      <c r="E16" s="136" t="s">
        <v>287</v>
      </c>
      <c r="F16" s="138" t="s">
        <v>288</v>
      </c>
      <c r="G16" s="131">
        <v>45296</v>
      </c>
      <c r="H16" s="131" t="s"/>
      <c r="I16" s="131" t="s"/>
      <c r="J16" s="132" t="s"/>
      <c r="K16" s="133" t="s">
        <v>71</v>
      </c>
      <c r="L16" s="134" t="s"/>
      <c r="M16" s="135" t="s">
        <v>74</v>
      </c>
      <c r="N16" t="s">
        <v>289</v>
      </c>
      <c r="O16" s="131" t="s"/>
      <c r="P16" s="136" t="s"/>
    </row>
    <row r="17" spans="1:16" customHeight="false">
      <c r="A17" s="128">
        <f>=ROW(A17)-1</f>
        <v>16</v>
      </c>
      <c r="B17" s="128" t="s">
        <v>290</v>
      </c>
      <c r="C17" s="129" t="s">
        <v>291</v>
      </c>
      <c r="D17" s="129" t="s">
        <v>231</v>
      </c>
      <c r="E17" s="136" t="s">
        <v>232</v>
      </c>
      <c r="F17" s="130" t="s">
        <v>292</v>
      </c>
      <c r="G17" s="131">
        <v>45294</v>
      </c>
      <c r="H17" s="131" t="s"/>
      <c r="I17" s="131" t="s"/>
      <c r="J17" s="141" t="s"/>
      <c r="K17" s="133" t="s">
        <v>56</v>
      </c>
      <c r="L17" s="134" t="s"/>
      <c r="M17" s="143" t="s">
        <v>241</v>
      </c>
      <c r="N17" t="s">
        <v>293</v>
      </c>
      <c r="O17" s="131" t="s"/>
      <c r="P17" s="136" t="s"/>
    </row>
    <row r="18" spans="1:16" customHeight="false">
      <c r="A18" s="137">
        <f>=ROW(A18)-1</f>
        <v>17</v>
      </c>
      <c r="B18" s="128" t="s"/>
      <c r="C18" s="152" t="s">
        <v>291</v>
      </c>
      <c r="D18" s="152" t="s">
        <v>231</v>
      </c>
      <c r="E18" s="59" t="s">
        <v>209</v>
      </c>
      <c r="F18" s="153" t="s">
        <v>294</v>
      </c>
      <c r="G18" s="154">
        <v>45218</v>
      </c>
      <c r="H18" s="154">
        <v>45306</v>
      </c>
      <c r="I18" s="154">
        <f>=G18+30</f>
        <v>45248</v>
      </c>
      <c r="J18" s="155">
        <f>=H18-G18</f>
        <v>88</v>
      </c>
      <c r="K18" s="156" t="s">
        <v>56</v>
      </c>
      <c r="L18" s="71" t="s">
        <v>295</v>
      </c>
      <c r="M18" s="157" t="s">
        <v>241</v>
      </c>
      <c r="N18" s="59" t="s">
        <v>296</v>
      </c>
      <c r="O18" s="154" t="s"/>
      <c r="P18" s="158" t="s">
        <v>297</v>
      </c>
    </row>
    <row r="19" spans="1:16" customHeight="false">
      <c r="A19" s="128">
        <f>=ROW(A19)-1</f>
        <v>18</v>
      </c>
      <c r="B19" s="128" t="s">
        <v>298</v>
      </c>
      <c r="C19" s="129" t="s">
        <v>299</v>
      </c>
      <c r="D19" s="129" t="s">
        <v>249</v>
      </c>
      <c r="E19" s="136" t="s">
        <v>300</v>
      </c>
      <c r="F19" s="130" t="s">
        <v>301</v>
      </c>
      <c r="G19" s="131">
        <v>45276</v>
      </c>
      <c r="H19" s="131">
        <v>45281</v>
      </c>
      <c r="I19" s="131">
        <f>=G19+30</f>
        <v>45306</v>
      </c>
      <c r="J19" s="141">
        <f>=H19-G19</f>
        <v>5</v>
      </c>
      <c r="K19" s="133" t="s">
        <v>175</v>
      </c>
      <c r="L19" s="134" t="s"/>
      <c r="M19" s="143" t="s">
        <v>302</v>
      </c>
      <c r="N19" s="136" t="s"/>
      <c r="O19" s="131" t="s"/>
      <c r="P19" s="108" t="s"/>
    </row>
    <row r="20" spans="1:18" s="38">
      <c r="A20" s="159">
        <f>=ROW(A20)-1</f>
        <v>19</v>
      </c>
      <c r="B20" s="159" t="s">
        <v>303</v>
      </c>
      <c r="C20" s="160" t="s">
        <v>299</v>
      </c>
      <c r="D20" s="160" t="s">
        <v>231</v>
      </c>
      <c r="E20" s="161" t="s">
        <v>275</v>
      </c>
      <c r="F20" s="162" t="s">
        <v>304</v>
      </c>
      <c r="G20" s="163">
        <v>45275</v>
      </c>
      <c r="H20" s="163">
        <v>45282</v>
      </c>
      <c r="I20" s="163">
        <f>=G20+30</f>
        <v>45305</v>
      </c>
      <c r="J20" s="164">
        <f>=H20-G20</f>
        <v>7</v>
      </c>
      <c r="K20" s="165" t="s">
        <v>71</v>
      </c>
      <c r="L20" s="166" t="s">
        <v>43</v>
      </c>
      <c r="M20" s="167" t="s">
        <v>74</v>
      </c>
      <c r="N20" s="168" t="s"/>
      <c r="O20" s="163" t="s"/>
      <c r="P20" s="169" t="s">
        <v>180</v>
      </c>
      <c r="Q20" s="38" t="s"/>
      <c r="R20" s="38" t="s"/>
    </row>
    <row r="21" spans="1:16">
      <c r="A21" s="128">
        <f>=ROW(A21)-1</f>
        <v>20</v>
      </c>
      <c r="B21" s="128" t="s"/>
      <c r="C21" s="129" t="s">
        <v>305</v>
      </c>
      <c r="D21" s="129" t="s">
        <v>231</v>
      </c>
      <c r="E21" s="136" t="s">
        <v>306</v>
      </c>
      <c r="F21" s="130" t="s">
        <v>307</v>
      </c>
      <c r="G21" s="131">
        <v>45323</v>
      </c>
      <c r="H21" s="131">
        <v>45345</v>
      </c>
      <c r="I21" s="131" t="s"/>
      <c r="J21" s="141">
        <f>=H21-G21</f>
        <v>22</v>
      </c>
      <c r="K21" s="133" t="s">
        <v>246</v>
      </c>
      <c r="L21" s="134" t="s"/>
      <c r="M21" s="143" t="s"/>
      <c r="O21" s="131" t="s"/>
      <c r="P21" s="136" t="s"/>
    </row>
    <row r="22" spans="1:18" s="293" customHeight="false">
      <c r="A22" s="170">
        <f>=ROW(A22)-1</f>
        <v>21</v>
      </c>
      <c r="B22" s="170" t="s">
        <v>308</v>
      </c>
      <c r="C22" s="171" t="s">
        <v>305</v>
      </c>
      <c r="D22" s="171" t="s">
        <v>231</v>
      </c>
      <c r="E22" s="172" t="s">
        <v>309</v>
      </c>
      <c r="F22" s="172" t="s">
        <v>310</v>
      </c>
      <c r="G22" s="173">
        <v>45281</v>
      </c>
      <c r="H22" s="173">
        <v>45351</v>
      </c>
      <c r="I22" s="173">
        <f>=G22+30</f>
        <v>45311</v>
      </c>
      <c r="J22" s="174">
        <f>=H22-G22</f>
        <v>70</v>
      </c>
      <c r="K22" s="175" t="s">
        <v>252</v>
      </c>
      <c r="L22" s="144" t="s">
        <v>43</v>
      </c>
      <c r="M22" s="171" t="s">
        <v>62</v>
      </c>
      <c r="N22" s="176" t="s">
        <v>311</v>
      </c>
      <c r="O22" s="173" t="s"/>
      <c r="P22" s="176" t="s"/>
      <c r="Q22" s="177" t="s"/>
      <c r="R22" s="177" t="s"/>
    </row>
    <row r="23" spans="1:16" customHeight="false">
      <c r="A23" s="137">
        <f>=ROW(A23)-1</f>
        <v>22</v>
      </c>
      <c r="B23" s="128" t="s"/>
      <c r="C23" s="152" t="s">
        <v>305</v>
      </c>
      <c r="D23" s="152" t="s">
        <v>239</v>
      </c>
      <c r="E23" s="59" t="s">
        <v>312</v>
      </c>
      <c r="F23" s="153" t="s">
        <v>313</v>
      </c>
      <c r="G23" s="154">
        <v>45266</v>
      </c>
      <c r="H23" s="154">
        <v>45348</v>
      </c>
      <c r="I23" s="154">
        <f>=G23+30</f>
        <v>45296</v>
      </c>
      <c r="J23" s="155">
        <f>=H23-G23</f>
        <v>82</v>
      </c>
      <c r="K23" s="156" t="s">
        <v>252</v>
      </c>
      <c r="L23" s="178" t="s">
        <v>314</v>
      </c>
      <c r="M23" s="157" t="s">
        <v>62</v>
      </c>
      <c r="N23" s="59" t="s">
        <v>315</v>
      </c>
      <c r="O23" s="154" t="s"/>
      <c r="P23" s="59" t="s">
        <v>316</v>
      </c>
    </row>
    <row r="24" spans="1:16">
      <c r="A24" s="128">
        <f>=ROW(A24)-1</f>
        <v>23</v>
      </c>
      <c r="B24" s="128" t="s">
        <v>317</v>
      </c>
      <c r="C24" s="129" t="s">
        <v>305</v>
      </c>
      <c r="D24" s="129" t="s">
        <v>231</v>
      </c>
      <c r="E24" s="136" t="s">
        <v>505</v>
      </c>
      <c r="F24" s="130" t="s">
        <v>318</v>
      </c>
      <c r="G24" s="131">
        <v>45267</v>
      </c>
      <c r="H24" s="131">
        <v>45320</v>
      </c>
      <c r="I24" s="131">
        <f>=G24+30</f>
        <v>45297</v>
      </c>
      <c r="J24" s="141">
        <f>=H24-G24</f>
        <v>53</v>
      </c>
      <c r="K24" s="133" t="s">
        <v>56</v>
      </c>
      <c r="L24" s="134" t="s">
        <v>319</v>
      </c>
      <c r="M24" s="143" t="s">
        <v>258</v>
      </c>
      <c r="N24" s="136" t="s">
        <v>320</v>
      </c>
      <c r="O24" s="131" t="s"/>
      <c r="P24" s="108" t="s"/>
    </row>
    <row r="25" spans="1:16" customHeight="false">
      <c r="A25" s="179">
        <f>=ROW(A25)-1</f>
        <v>24</v>
      </c>
      <c r="B25" s="128" t="s"/>
      <c r="C25" s="180" t="s">
        <v>305</v>
      </c>
      <c r="D25" s="180" t="s">
        <v>231</v>
      </c>
      <c r="E25" s="79" t="s">
        <v>321</v>
      </c>
      <c r="F25" s="181" t="s">
        <v>322</v>
      </c>
      <c r="G25" s="182">
        <v>45257</v>
      </c>
      <c r="H25" s="182">
        <v>45308</v>
      </c>
      <c r="I25" s="182">
        <f>=G25+30</f>
        <v>45287</v>
      </c>
      <c r="J25" s="183">
        <f>=H25-G25</f>
        <v>51</v>
      </c>
      <c r="K25" s="184" t="s">
        <v>56</v>
      </c>
      <c r="L25" s="185" t="s">
        <v>323</v>
      </c>
      <c r="M25" s="186" t="s">
        <v>324</v>
      </c>
      <c r="N25" s="79" t="s">
        <v>325</v>
      </c>
      <c r="O25" s="182" t="s"/>
      <c r="P25" s="187" t="s">
        <v>326</v>
      </c>
    </row>
    <row r="26" spans="1:18" s="293">
      <c r="A26" s="170">
        <f>=ROW(A26)-1</f>
        <v>25</v>
      </c>
      <c r="B26" s="170" t="s"/>
      <c r="C26" s="171" t="s">
        <v>305</v>
      </c>
      <c r="D26" s="171" t="s">
        <v>231</v>
      </c>
      <c r="E26" s="172" t="s">
        <v>327</v>
      </c>
      <c r="F26" s="172" t="s">
        <v>328</v>
      </c>
      <c r="G26" s="173">
        <v>45275</v>
      </c>
      <c r="H26" s="173">
        <v>45321</v>
      </c>
      <c r="I26" s="173">
        <f>=G26+30</f>
        <v>45305</v>
      </c>
      <c r="J26" s="174">
        <f>=H26-G26</f>
        <v>46</v>
      </c>
      <c r="K26" s="175" t="s">
        <v>246</v>
      </c>
      <c r="L26" s="144" t="s"/>
      <c r="M26" s="171" t="s"/>
      <c r="N26" s="177" t="s"/>
      <c r="O26" s="173" t="s"/>
      <c r="P26" s="172" t="s"/>
      <c r="Q26" s="177" t="s"/>
      <c r="R26" s="177" t="s"/>
    </row>
    <row r="27" spans="1:18">
      <c r="A27" s="128">
        <f>=ROW(A27)-1</f>
        <v>26</v>
      </c>
      <c r="B27" s="128" t="s">
        <v>329</v>
      </c>
      <c r="C27" s="129" t="s">
        <v>305</v>
      </c>
      <c r="D27" s="129" t="s">
        <v>330</v>
      </c>
      <c r="E27" s="136" t="s">
        <v>331</v>
      </c>
      <c r="F27" s="130" t="s">
        <v>332</v>
      </c>
      <c r="G27" s="131">
        <v>45302</v>
      </c>
      <c r="H27" s="131">
        <v>45321</v>
      </c>
      <c r="I27" s="131" t="s"/>
      <c r="J27" s="141" t="s"/>
      <c r="K27" s="133" t="s">
        <v>246</v>
      </c>
      <c r="L27" s="188" t="s"/>
      <c r="M27" s="143" t="s">
        <v>246</v>
      </c>
      <c r="O27" s="131" t="s"/>
      <c r="P27" s="136" t="s"/>
      <c r="Q27" s="131" t="s"/>
      <c r="R27" s="188" t="s"/>
    </row>
    <row r="28" spans="1:16">
      <c r="A28" s="128">
        <f>=ROW(A28)-1</f>
        <v>27</v>
      </c>
      <c r="B28" s="128" t="s">
        <v>333</v>
      </c>
      <c r="C28" s="129" t="s">
        <v>305</v>
      </c>
      <c r="D28" s="129" t="s">
        <v>239</v>
      </c>
      <c r="E28" s="136" t="s">
        <v>334</v>
      </c>
      <c r="F28" s="130" t="s">
        <v>335</v>
      </c>
      <c r="G28" s="131">
        <v>45294</v>
      </c>
      <c r="H28" s="131" t="s"/>
      <c r="I28" s="131" t="s"/>
      <c r="J28" s="141" t="s"/>
      <c r="K28" s="133" t="s">
        <v>252</v>
      </c>
      <c r="L28" s="134" t="s"/>
      <c r="M28" s="143" t="s">
        <v>62</v>
      </c>
      <c r="N28" t="s">
        <v>336</v>
      </c>
      <c r="O28" s="131" t="s"/>
      <c r="P28" s="136" t="s"/>
    </row>
    <row r="29" spans="1:16" customHeight="false">
      <c r="A29" s="189">
        <f>=ROW(A29)-1</f>
        <v>28</v>
      </c>
      <c r="B29" s="189" t="s"/>
      <c r="C29" s="190" t="s">
        <v>305</v>
      </c>
      <c r="D29" s="190" t="s">
        <v>231</v>
      </c>
      <c r="E29" s="191" t="s">
        <v>337</v>
      </c>
      <c r="F29" s="192" t="s">
        <v>338</v>
      </c>
      <c r="G29" s="193">
        <v>45266</v>
      </c>
      <c r="H29" s="194">
        <v>45280</v>
      </c>
      <c r="I29" s="194">
        <f>=G29+30</f>
        <v>45296</v>
      </c>
      <c r="J29" s="195">
        <f>=H29-G29</f>
        <v>14</v>
      </c>
      <c r="K29" s="196" t="s">
        <v>252</v>
      </c>
      <c r="L29" s="197" t="s">
        <v>314</v>
      </c>
      <c r="M29" s="198" t="s">
        <v>62</v>
      </c>
      <c r="N29" s="191" t="s">
        <v>339</v>
      </c>
      <c r="O29" s="194" t="s"/>
      <c r="P29" s="191" t="s">
        <v>316</v>
      </c>
    </row>
    <row r="30" spans="1:16" customHeight="false">
      <c r="A30" s="199">
        <f>=ROW(A30)-1</f>
        <v>29</v>
      </c>
      <c r="B30" s="199" t="s"/>
      <c r="C30" s="200" t="s">
        <v>305</v>
      </c>
      <c r="D30" s="200" t="s">
        <v>234</v>
      </c>
      <c r="E30" s="201" t="s">
        <v>340</v>
      </c>
      <c r="F30" s="202" t="s">
        <v>341</v>
      </c>
      <c r="G30" s="203">
        <v>45281</v>
      </c>
      <c r="H30" s="204">
        <v>45320</v>
      </c>
      <c r="I30" s="204">
        <f>=G30+30</f>
        <v>45311</v>
      </c>
      <c r="J30" s="205">
        <f>=H30-G30</f>
        <v>39</v>
      </c>
      <c r="K30" s="206" t="s">
        <v>252</v>
      </c>
      <c r="L30" s="207" t="s">
        <v>43</v>
      </c>
      <c r="M30" s="208" t="s">
        <v>62</v>
      </c>
      <c r="N30" s="209" t="s">
        <v>342</v>
      </c>
      <c r="O30" s="204" t="s"/>
      <c r="P30" s="209" t="s"/>
    </row>
    <row r="31" spans="1:16" s="111">
      <c r="A31" s="210">
        <f>=ROW(A31)-1</f>
        <v>30</v>
      </c>
      <c r="B31" s="210" t="s">
        <v>343</v>
      </c>
      <c r="C31" s="211" t="s">
        <v>305</v>
      </c>
      <c r="D31" s="211" t="s">
        <v>231</v>
      </c>
      <c r="E31" s="212" t="s">
        <v>344</v>
      </c>
      <c r="F31" s="213" t="s">
        <v>345</v>
      </c>
      <c r="G31" s="214">
        <v>45195</v>
      </c>
      <c r="H31" s="215">
        <v>45282</v>
      </c>
      <c r="I31" s="215">
        <f>=G31+30</f>
        <v>45225</v>
      </c>
      <c r="J31" s="216">
        <f>=H31-G31</f>
        <v>87</v>
      </c>
      <c r="K31" s="217" t="s">
        <v>56</v>
      </c>
      <c r="L31" s="218" t="s">
        <v>346</v>
      </c>
      <c r="M31" s="211" t="s">
        <v>241</v>
      </c>
      <c r="N31" s="212" t="s">
        <v>347</v>
      </c>
      <c r="O31" s="215" t="s"/>
      <c r="P31" s="219" t="s">
        <v>348</v>
      </c>
    </row>
    <row r="32" spans="1:16" s="111">
      <c r="A32" s="220">
        <f>=ROW(A32)-1</f>
        <v>31</v>
      </c>
      <c r="B32" s="170" t="s"/>
      <c r="C32" s="221" t="s">
        <v>305</v>
      </c>
      <c r="D32" s="221" t="s">
        <v>239</v>
      </c>
      <c r="E32" s="222" t="s">
        <v>505</v>
      </c>
      <c r="F32" s="223" t="s">
        <v>349</v>
      </c>
      <c r="G32" s="224">
        <v>45275</v>
      </c>
      <c r="H32" s="225">
        <v>45303</v>
      </c>
      <c r="I32" s="225">
        <f>=G32+30</f>
        <v>45305</v>
      </c>
      <c r="J32" s="226">
        <f>=H32-G32</f>
        <v>28</v>
      </c>
      <c r="K32" s="227" t="s">
        <v>71</v>
      </c>
      <c r="L32" s="228" t="s">
        <v>43</v>
      </c>
      <c r="M32" s="221" t="s">
        <v>74</v>
      </c>
      <c r="N32" s="177" t="s"/>
      <c r="O32" s="225" t="s"/>
      <c r="P32" s="229" t="s">
        <v>178</v>
      </c>
    </row>
    <row r="33" spans="1:16" s="293">
      <c r="A33" s="220">
        <f>=ROW(A33)-1</f>
        <v>32</v>
      </c>
      <c r="B33" s="170" t="s"/>
      <c r="C33" s="221" t="s">
        <v>305</v>
      </c>
      <c r="D33" s="221" t="s">
        <v>239</v>
      </c>
      <c r="E33" s="230" t="s">
        <v>209</v>
      </c>
      <c r="F33" s="223" t="s">
        <v>350</v>
      </c>
      <c r="G33" s="224">
        <v>45139</v>
      </c>
      <c r="H33" s="225">
        <v>45306</v>
      </c>
      <c r="I33" s="225">
        <f>=G33+30</f>
        <v>45169</v>
      </c>
      <c r="J33" s="226">
        <f>=H33-G33</f>
        <v>167</v>
      </c>
      <c r="K33" s="227" t="s">
        <v>56</v>
      </c>
      <c r="L33" s="228" t="s">
        <v>351</v>
      </c>
      <c r="M33" s="221" t="s">
        <v>241</v>
      </c>
      <c r="N33" s="230" t="s">
        <v>352</v>
      </c>
      <c r="O33" s="225" t="s"/>
      <c r="P33" s="229" t="s">
        <v>353</v>
      </c>
    </row>
    <row r="34" spans="1:16" customHeight="false">
      <c r="A34" s="189">
        <f>=ROW(A34)-1</f>
        <v>33</v>
      </c>
      <c r="B34" s="128" t="s"/>
      <c r="C34" s="190" t="s">
        <v>305</v>
      </c>
      <c r="D34" s="190" t="s">
        <v>261</v>
      </c>
      <c r="E34" s="231" t="s">
        <v>354</v>
      </c>
      <c r="F34" s="192" t="s">
        <v>355</v>
      </c>
      <c r="G34" s="193">
        <v>45225</v>
      </c>
      <c r="H34" s="194">
        <v>45280</v>
      </c>
      <c r="I34" s="194">
        <f>=G34+30</f>
        <v>45255</v>
      </c>
      <c r="J34" s="195">
        <f>=H34-G34</f>
        <v>55</v>
      </c>
      <c r="K34" s="196" t="s">
        <v>56</v>
      </c>
      <c r="L34" s="197" t="s">
        <v>356</v>
      </c>
      <c r="M34" s="198" t="s">
        <v>258</v>
      </c>
      <c r="N34" s="232" t="s"/>
      <c r="O34" s="194" t="s"/>
      <c r="P34" s="231" t="s">
        <v>357</v>
      </c>
    </row>
    <row r="35" spans="1:16" customHeight="false">
      <c r="A35" s="128">
        <f>=ROW(A35)-1</f>
        <v>34</v>
      </c>
      <c r="B35" s="128" t="s"/>
      <c r="C35" s="129" t="s">
        <v>305</v>
      </c>
      <c r="D35" s="129" t="s">
        <v>255</v>
      </c>
      <c r="E35" s="136" t="s">
        <v>358</v>
      </c>
      <c r="F35" s="130" t="s">
        <v>359</v>
      </c>
      <c r="G35" s="131">
        <v>45256</v>
      </c>
      <c r="H35" s="131">
        <v>45282</v>
      </c>
      <c r="I35" s="131">
        <f>=G35+30</f>
        <v>45286</v>
      </c>
      <c r="J35" s="141">
        <f>=H35-G35</f>
        <v>26</v>
      </c>
      <c r="K35" s="133" t="s">
        <v>56</v>
      </c>
      <c r="L35" s="134" t="s">
        <v>360</v>
      </c>
      <c r="M35" s="143" t="s">
        <v>324</v>
      </c>
      <c r="N35" s="108" t="s"/>
      <c r="O35" s="131" t="s"/>
      <c r="P35" s="136" t="s">
        <v>361</v>
      </c>
    </row>
    <row r="36" spans="1:16" s="293">
      <c r="A36" s="233">
        <f>=ROW(A36)-1</f>
        <v>35</v>
      </c>
      <c r="B36" s="128" t="s"/>
      <c r="C36" s="234" t="s">
        <v>305</v>
      </c>
      <c r="D36" s="234" t="s">
        <v>249</v>
      </c>
      <c r="E36" s="235" t="s">
        <v>362</v>
      </c>
      <c r="F36" s="236" t="s">
        <v>363</v>
      </c>
      <c r="G36" s="237" t="s"/>
      <c r="H36" s="238" t="s"/>
      <c r="I36" s="238">
        <f>=G36+30</f>
        <v>30</v>
      </c>
      <c r="J36" s="239">
        <f>=H36-G36</f>
        <v>0</v>
      </c>
      <c r="K36" s="240" t="s"/>
      <c r="L36" s="235" t="s">
        <v>364</v>
      </c>
      <c r="M36" s="241" t="s">
        <v>241</v>
      </c>
      <c r="N36" s="242" t="s"/>
      <c r="O36" s="243" t="s"/>
      <c r="P36" s="235" t="s">
        <v>364</v>
      </c>
    </row>
    <row r="37" spans="1:16">
      <c r="A37" s="179">
        <f>=ROW(A37)-1</f>
        <v>36</v>
      </c>
      <c r="B37" s="128" t="s"/>
      <c r="C37" s="180" t="s">
        <v>305</v>
      </c>
      <c r="D37" s="180" t="s">
        <v>249</v>
      </c>
      <c r="E37" s="79" t="s">
        <v>365</v>
      </c>
      <c r="F37" s="181" t="s">
        <v>366</v>
      </c>
      <c r="G37" s="182" t="s"/>
      <c r="H37" s="182" t="s"/>
      <c r="I37" s="182">
        <f>=G37+30</f>
        <v>30</v>
      </c>
      <c r="J37" s="183">
        <f>=H37-G37</f>
        <v>0</v>
      </c>
      <c r="K37" s="184" t="s"/>
      <c r="L37" s="185" t="s">
        <v>367</v>
      </c>
      <c r="M37" s="186" t="s">
        <v>324</v>
      </c>
      <c r="N37" s="78" t="s">
        <v>368</v>
      </c>
      <c r="O37" s="244" t="s"/>
      <c r="P37" s="185" t="s">
        <v>369</v>
      </c>
    </row>
    <row r="38" spans="1:16">
      <c r="A38" s="179">
        <f>=ROW(A38)-1</f>
        <v>37</v>
      </c>
      <c r="B38" s="128" t="s"/>
      <c r="C38" s="180" t="s">
        <v>305</v>
      </c>
      <c r="D38" s="180" t="s">
        <v>234</v>
      </c>
      <c r="E38" s="78" t="s">
        <v>370</v>
      </c>
      <c r="F38" s="181" t="s">
        <v>371</v>
      </c>
      <c r="G38" s="182">
        <v>45245</v>
      </c>
      <c r="H38" s="182">
        <v>45272</v>
      </c>
      <c r="I38" s="182">
        <f>=G38+30</f>
        <v>45275</v>
      </c>
      <c r="J38" s="183">
        <f>=H38-G38</f>
        <v>27</v>
      </c>
      <c r="K38" s="184" t="s"/>
      <c r="L38" s="185" t="s">
        <v>372</v>
      </c>
      <c r="M38" s="186" t="s">
        <v>241</v>
      </c>
      <c r="N38" s="185" t="s"/>
      <c r="O38" s="244" t="s"/>
      <c r="P38" s="185" t="s">
        <v>373</v>
      </c>
    </row>
    <row r="39" spans="1:16">
      <c r="A39" s="179">
        <f>=ROW(A39)-1</f>
        <v>38</v>
      </c>
      <c r="B39" s="128" t="s"/>
      <c r="C39" s="180" t="s">
        <v>305</v>
      </c>
      <c r="D39" s="180" t="s">
        <v>330</v>
      </c>
      <c r="E39" s="185" t="s">
        <v>374</v>
      </c>
      <c r="F39" s="181" t="s">
        <v>375</v>
      </c>
      <c r="G39" s="182">
        <v>45208</v>
      </c>
      <c r="H39" s="182">
        <v>45253</v>
      </c>
      <c r="I39" s="182">
        <f>=G39+30</f>
        <v>45238</v>
      </c>
      <c r="J39" s="183">
        <f>=H39-G39</f>
        <v>45</v>
      </c>
      <c r="K39" s="184" t="s"/>
      <c r="L39" s="78" t="s">
        <v>373</v>
      </c>
      <c r="M39" s="186" t="s">
        <v>241</v>
      </c>
      <c r="N39" s="78" t="s">
        <v>376</v>
      </c>
      <c r="O39" s="244" t="s"/>
      <c r="P39" s="185" t="s">
        <v>377</v>
      </c>
    </row>
    <row r="40" spans="1:16">
      <c r="A40" s="179">
        <f>=ROW(A40)-1</f>
        <v>39</v>
      </c>
      <c r="B40" s="128" t="s"/>
      <c r="C40" s="180" t="s">
        <v>305</v>
      </c>
      <c r="D40" s="180" t="s">
        <v>231</v>
      </c>
      <c r="E40" s="79" t="s">
        <v>378</v>
      </c>
      <c r="F40" s="181" t="s">
        <v>379</v>
      </c>
      <c r="G40" s="182">
        <v>45271</v>
      </c>
      <c r="H40" s="182">
        <v>45280</v>
      </c>
      <c r="I40" s="182">
        <f>=G40+30</f>
        <v>45301</v>
      </c>
      <c r="J40" s="183">
        <f>=H40-G40</f>
        <v>9</v>
      </c>
      <c r="K40" s="184" t="s">
        <v>56</v>
      </c>
      <c r="L40" s="185" t="s">
        <v>380</v>
      </c>
      <c r="M40" s="186" t="s">
        <v>324</v>
      </c>
      <c r="N40" s="79" t="s">
        <v>381</v>
      </c>
      <c r="O40" s="182" t="s"/>
      <c r="P40" s="187" t="s">
        <v>382</v>
      </c>
    </row>
    <row r="41" spans="1:16">
      <c r="A41" s="151">
        <f>=ROW(A41)-1</f>
        <v>40</v>
      </c>
      <c r="B41" s="128" t="s"/>
      <c r="C41" s="245" t="s">
        <v>305</v>
      </c>
      <c r="D41" s="245" t="s">
        <v>231</v>
      </c>
      <c r="E41" s="246" t="s">
        <v>383</v>
      </c>
      <c r="F41" s="247" t="s">
        <v>384</v>
      </c>
      <c r="G41" s="248">
        <v>45267</v>
      </c>
      <c r="H41" s="248">
        <v>45281</v>
      </c>
      <c r="I41" s="248">
        <f>=G41+30</f>
        <v>45297</v>
      </c>
      <c r="J41" s="249">
        <f>=H41-G41</f>
        <v>14</v>
      </c>
      <c r="K41" s="250" t="s">
        <v>175</v>
      </c>
      <c r="L41" s="251" t="s"/>
      <c r="M41" s="252" t="s">
        <v>237</v>
      </c>
      <c r="N41" s="246" t="s"/>
      <c r="O41" s="248" t="s"/>
      <c r="P41" s="253" t="s"/>
    </row>
    <row r="42" spans="1:16">
      <c r="A42" s="179">
        <f>=ROW(A42)-1</f>
        <v>41</v>
      </c>
      <c r="B42" s="128" t="s"/>
      <c r="C42" s="180" t="s">
        <v>305</v>
      </c>
      <c r="D42" s="180" t="s"/>
      <c r="E42" s="185" t="s">
        <v>385</v>
      </c>
      <c r="F42" s="254" t="s">
        <v>386</v>
      </c>
      <c r="G42" s="182" t="s"/>
      <c r="H42" s="182" t="s"/>
      <c r="I42" s="182">
        <f>=G42+30</f>
        <v>30</v>
      </c>
      <c r="J42" s="183">
        <f>=H42-G42</f>
        <v>0</v>
      </c>
      <c r="K42" s="184" t="s"/>
      <c r="L42" s="185" t="s">
        <v>387</v>
      </c>
      <c r="M42" s="186" t="s">
        <v>324</v>
      </c>
      <c r="N42" s="185" t="s"/>
      <c r="O42" s="244" t="s"/>
      <c r="P42" s="185" t="s">
        <v>387</v>
      </c>
    </row>
    <row r="43" spans="1:16">
      <c r="A43" s="179">
        <f>=ROW(A43)-1</f>
        <v>42</v>
      </c>
      <c r="B43" s="128" t="s"/>
      <c r="C43" s="180" t="s">
        <v>305</v>
      </c>
      <c r="D43" s="180" t="s"/>
      <c r="E43" s="185" t="s">
        <v>388</v>
      </c>
      <c r="F43" s="181" t="s">
        <v>389</v>
      </c>
      <c r="G43" s="182" t="s"/>
      <c r="H43" s="182" t="s"/>
      <c r="I43" s="182">
        <f>=G43+30</f>
        <v>30</v>
      </c>
      <c r="J43" s="183">
        <f>=H43-G43</f>
        <v>0</v>
      </c>
      <c r="K43" s="184" t="s"/>
      <c r="L43" s="82" t="s"/>
      <c r="M43" s="186" t="s">
        <v>258</v>
      </c>
      <c r="N43" s="185" t="s"/>
      <c r="O43" s="244" t="s"/>
      <c r="P43" s="185" t="s">
        <v>390</v>
      </c>
    </row>
    <row r="44" spans="1:16" customHeight="false">
      <c r="A44" s="179">
        <f>=ROW(A44)-1</f>
        <v>43</v>
      </c>
      <c r="B44" s="128" t="s"/>
      <c r="C44" s="180" t="s">
        <v>305</v>
      </c>
      <c r="D44" s="180" t="s"/>
      <c r="E44" s="185" t="s">
        <v>391</v>
      </c>
      <c r="F44" s="181" t="s">
        <v>392</v>
      </c>
      <c r="G44" s="182">
        <v>45217</v>
      </c>
      <c r="H44" s="182">
        <v>45253</v>
      </c>
      <c r="I44" s="182">
        <f>=G44+30</f>
        <v>45247</v>
      </c>
      <c r="J44" s="183">
        <f>=H44-G44</f>
        <v>36</v>
      </c>
      <c r="K44" s="184" t="s"/>
      <c r="L44" s="78" t="s">
        <v>377</v>
      </c>
      <c r="M44" s="186" t="s">
        <v>324</v>
      </c>
      <c r="N44" s="78" t="s">
        <v>393</v>
      </c>
      <c r="O44" s="244" t="s"/>
      <c r="P44" s="185" t="s"/>
    </row>
    <row r="45" spans="1:16" customHeight="false">
      <c r="A45" s="179">
        <f>=ROW(A45)-1</f>
        <v>44</v>
      </c>
      <c r="B45" s="128" t="s"/>
      <c r="C45" s="180" t="s"/>
      <c r="D45" s="180" t="s"/>
      <c r="E45" s="187" t="s">
        <v>394</v>
      </c>
      <c r="F45" s="254" t="s"/>
      <c r="G45" s="182" t="s"/>
      <c r="H45" s="182" t="s"/>
      <c r="I45" s="182">
        <f>=G45+30</f>
        <v>30</v>
      </c>
      <c r="J45" s="183">
        <f>=H45-G45</f>
        <v>0</v>
      </c>
      <c r="K45" s="184" t="s"/>
      <c r="L45" s="185" t="s">
        <v>395</v>
      </c>
      <c r="M45" s="186" t="s">
        <v>258</v>
      </c>
      <c r="N45" s="187" t="s"/>
      <c r="O45" s="182" t="s"/>
      <c r="P45" s="187" t="s">
        <v>396</v>
      </c>
    </row>
    <row r="46" spans="1:16">
      <c r="A46" s="80" t="s"/>
      <c r="B46" s="255" t="s"/>
      <c r="C46" s="180" t="s"/>
      <c r="D46" s="180" t="s"/>
      <c r="E46" s="256" t="s"/>
      <c r="F46" s="257" t="s"/>
      <c r="G46" s="182" t="s"/>
      <c r="H46" s="182" t="s"/>
      <c r="I46" s="182" t="s"/>
      <c r="J46" s="258" t="s"/>
      <c r="K46" s="184" t="s"/>
      <c r="L46" s="82" t="s"/>
      <c r="M46" s="186" t="s"/>
      <c r="N46" s="256" t="s"/>
      <c r="O46" s="182" t="s"/>
      <c r="P46" s="256" t="s"/>
    </row>
    <row r="47" spans="1:16">
      <c r="A47" s="259" t="s"/>
      <c r="B47" s="20" t="s"/>
      <c r="C47" s="180" t="s"/>
      <c r="D47" s="180" t="s"/>
      <c r="E47" s="260" t="s"/>
      <c r="F47" s="261" t="s"/>
      <c r="G47" s="262" t="s"/>
      <c r="H47" s="262" t="s"/>
      <c r="I47" s="262" t="s"/>
      <c r="J47" s="263" t="s"/>
      <c r="K47" s="184" t="s"/>
      <c r="L47" s="264" t="s"/>
      <c r="M47" s="186" t="s"/>
      <c r="N47" s="260" t="s"/>
      <c r="O47" s="262" t="s"/>
      <c r="P47" s="260" t="s"/>
    </row>
    <row r="48" spans="1:16">
      <c r="A48" s="20" t="s"/>
      <c r="B48" s="20" t="s"/>
      <c r="C48" s="152" t="s"/>
      <c r="D48" s="152" t="s"/>
      <c r="E48" s="31" t="s"/>
      <c r="F48" s="265" t="s"/>
      <c r="G48" s="266" t="s"/>
      <c r="H48" s="266" t="s"/>
      <c r="I48" s="266" t="s"/>
      <c r="J48" s="267" t="s"/>
      <c r="K48" s="156" t="s"/>
      <c r="M48" s="157" t="s"/>
      <c r="N48" s="31" t="s"/>
      <c r="O48" s="266" t="s"/>
      <c r="P48" s="31" t="s"/>
    </row>
    <row r="49" spans="1:16">
      <c r="A49" s="20" t="s"/>
      <c r="B49" s="20" t="s"/>
      <c r="C49" s="152" t="s"/>
      <c r="D49" s="152" t="s"/>
      <c r="E49" s="31" t="s"/>
      <c r="F49" s="265" t="s"/>
      <c r="G49" s="266" t="s"/>
      <c r="H49" s="266" t="s"/>
      <c r="I49" s="266" t="s"/>
      <c r="J49" s="267" t="s"/>
      <c r="K49" s="156" t="s"/>
      <c r="M49" s="157" t="s"/>
      <c r="N49" s="31" t="s"/>
      <c r="O49" s="266" t="s"/>
      <c r="P49" s="31" t="s"/>
    </row>
    <row r="50" spans="1:16">
      <c r="A50" s="20" t="s"/>
      <c r="B50" s="20" t="s"/>
      <c r="C50" s="152" t="s"/>
      <c r="D50" s="152" t="s"/>
      <c r="E50" s="31" t="s"/>
      <c r="F50" s="265" t="s"/>
      <c r="G50" s="266" t="s"/>
      <c r="H50" s="266" t="s"/>
      <c r="I50" s="266" t="s"/>
      <c r="J50" s="267" t="s"/>
      <c r="K50" s="156" t="s"/>
      <c r="M50" s="157" t="s"/>
      <c r="N50" s="31" t="s"/>
      <c r="O50" s="266" t="s"/>
      <c r="P50" s="31" t="s"/>
    </row>
    <row r="51" spans="1:16">
      <c r="A51" s="20" t="s"/>
      <c r="B51" s="20" t="s"/>
      <c r="C51" s="152" t="s"/>
      <c r="D51" s="152" t="s"/>
      <c r="E51" s="31" t="s"/>
      <c r="F51" s="265" t="s"/>
      <c r="G51" s="266" t="s"/>
      <c r="H51" s="266" t="s"/>
      <c r="I51" s="266" t="s"/>
      <c r="J51" s="267" t="s"/>
      <c r="K51" s="156" t="s"/>
      <c r="M51" s="157" t="s"/>
      <c r="N51" s="31" t="s"/>
      <c r="O51" s="266" t="s"/>
      <c r="P51" s="31" t="s"/>
    </row>
    <row r="52" spans="1:16">
      <c r="A52" s="20" t="s"/>
      <c r="B52" s="20" t="s"/>
      <c r="C52" s="152" t="s"/>
      <c r="D52" s="152" t="s"/>
      <c r="E52" s="31" t="s"/>
      <c r="F52" s="265" t="s"/>
      <c r="G52" s="266" t="s"/>
      <c r="H52" s="266" t="s"/>
      <c r="I52" s="266" t="s"/>
      <c r="J52" s="267" t="s"/>
      <c r="K52" s="156" t="s"/>
      <c r="M52" s="157" t="s"/>
      <c r="N52" s="31" t="s"/>
      <c r="O52" s="266" t="s"/>
      <c r="P52" s="31" t="s"/>
    </row>
    <row r="53" spans="1:16">
      <c r="A53" s="20" t="s"/>
      <c r="B53" s="20" t="s"/>
      <c r="C53" s="152" t="s"/>
      <c r="D53" s="152" t="s"/>
      <c r="E53" s="31" t="s"/>
      <c r="F53" s="265" t="s"/>
      <c r="G53" s="266" t="s"/>
      <c r="H53" s="266" t="s"/>
      <c r="I53" s="266" t="s"/>
      <c r="J53" s="267" t="s"/>
      <c r="K53" s="156" t="s"/>
      <c r="M53" s="157" t="s"/>
      <c r="N53" s="31" t="s"/>
      <c r="O53" s="266" t="s"/>
      <c r="P53" s="31" t="s"/>
    </row>
    <row r="54" spans="1:16">
      <c r="A54" s="20" t="s"/>
      <c r="B54" s="20" t="s"/>
      <c r="C54" s="152" t="s"/>
      <c r="D54" s="152" t="s"/>
      <c r="E54" s="31" t="s"/>
      <c r="F54" s="265" t="s"/>
      <c r="G54" s="266" t="s"/>
      <c r="H54" s="266" t="s"/>
      <c r="I54" s="266" t="s"/>
      <c r="J54" s="267" t="s"/>
      <c r="K54" s="156" t="s"/>
      <c r="M54" s="157" t="s"/>
      <c r="N54" s="31" t="s"/>
      <c r="O54" s="266" t="s"/>
      <c r="P54" s="31" t="s"/>
    </row>
    <row r="55" spans="1:16">
      <c r="A55" s="20" t="s"/>
      <c r="B55" s="20" t="s"/>
      <c r="C55" s="152" t="s"/>
      <c r="D55" s="152" t="s"/>
      <c r="E55" s="31" t="s"/>
      <c r="F55" s="265" t="s"/>
      <c r="G55" s="266" t="s"/>
      <c r="H55" s="266" t="s"/>
      <c r="I55" s="266" t="s"/>
      <c r="J55" s="267" t="s"/>
      <c r="K55" s="156" t="s"/>
      <c r="M55" s="157" t="s"/>
      <c r="N55" s="31" t="s"/>
      <c r="O55" s="266" t="s"/>
      <c r="P55" s="31" t="s"/>
    </row>
    <row r="56" spans="1:16">
      <c r="A56" s="20" t="s"/>
      <c r="B56" s="20" t="s"/>
      <c r="C56" s="152" t="s"/>
      <c r="D56" s="152" t="s"/>
      <c r="E56" s="31" t="s"/>
      <c r="F56" s="265" t="s"/>
      <c r="G56" s="266" t="s"/>
      <c r="H56" s="266" t="s"/>
      <c r="I56" s="266" t="s"/>
      <c r="J56" s="267" t="s"/>
      <c r="K56" s="156" t="s"/>
      <c r="M56" s="157" t="s"/>
      <c r="N56" s="31" t="s"/>
      <c r="O56" s="266" t="s"/>
      <c r="P56" s="31" t="s"/>
    </row>
    <row r="57" spans="1:16">
      <c r="A57" s="20" t="s"/>
      <c r="B57" s="20" t="s"/>
      <c r="C57" s="152" t="s"/>
      <c r="D57" s="152" t="s"/>
      <c r="E57" s="31" t="s"/>
      <c r="F57" s="265" t="s"/>
      <c r="G57" s="266" t="s"/>
      <c r="H57" s="266" t="s"/>
      <c r="I57" s="266" t="s"/>
      <c r="J57" s="267" t="s"/>
      <c r="K57" s="156" t="s"/>
      <c r="M57" s="157" t="s"/>
      <c r="N57" s="31" t="s"/>
      <c r="O57" s="266" t="s"/>
      <c r="P57" s="31" t="s"/>
    </row>
    <row r="58" spans="1:16">
      <c r="A58" s="20" t="s"/>
      <c r="B58" s="20" t="s"/>
      <c r="C58" s="152" t="s"/>
      <c r="D58" s="152" t="s"/>
      <c r="E58" s="31" t="s"/>
      <c r="F58" s="265" t="s"/>
      <c r="G58" s="266" t="s"/>
      <c r="H58" s="266" t="s"/>
      <c r="I58" s="266" t="s"/>
      <c r="J58" s="267" t="s"/>
      <c r="K58" s="156" t="s"/>
      <c r="M58" s="157" t="s"/>
      <c r="N58" s="31" t="s"/>
      <c r="O58" s="266" t="s"/>
      <c r="P58" s="31" t="s"/>
    </row>
    <row r="59" spans="1:16">
      <c r="A59" s="20" t="s"/>
      <c r="B59" s="20" t="s"/>
      <c r="C59" s="152" t="s"/>
      <c r="D59" s="152" t="s"/>
      <c r="E59" s="31" t="s"/>
      <c r="F59" s="265" t="s"/>
      <c r="G59" s="266" t="s"/>
      <c r="H59" s="266" t="s"/>
      <c r="I59" s="266" t="s"/>
      <c r="J59" s="267" t="s"/>
      <c r="K59" s="156" t="s"/>
      <c r="M59" s="157" t="s"/>
      <c r="N59" s="31" t="s"/>
      <c r="O59" s="266" t="s"/>
      <c r="P59" s="31" t="s"/>
    </row>
    <row r="60" spans="1:16">
      <c r="A60" s="20" t="s"/>
      <c r="B60" s="20" t="s"/>
      <c r="C60" s="152" t="s"/>
      <c r="D60" s="152" t="s"/>
      <c r="E60" s="31" t="s"/>
      <c r="F60" s="265" t="s"/>
      <c r="G60" s="266" t="s"/>
      <c r="H60" s="266" t="s"/>
      <c r="I60" s="266" t="s"/>
      <c r="J60" s="267" t="s"/>
      <c r="K60" s="156" t="s"/>
      <c r="M60" s="157" t="s"/>
      <c r="N60" s="31" t="s"/>
      <c r="O60" s="266" t="s"/>
      <c r="P60" s="31" t="s"/>
    </row>
    <row r="61" spans="1:16">
      <c r="A61" s="20" t="s"/>
      <c r="B61" s="20" t="s"/>
      <c r="C61" s="152" t="s"/>
      <c r="D61" s="152" t="s"/>
      <c r="E61" s="31" t="s"/>
      <c r="F61" s="265" t="s"/>
      <c r="G61" s="266" t="s"/>
      <c r="H61" s="266" t="s"/>
      <c r="I61" s="266" t="s"/>
      <c r="J61" s="267" t="s"/>
      <c r="K61" s="156" t="s"/>
      <c r="M61" s="157" t="s"/>
      <c r="N61" s="31" t="s"/>
      <c r="O61" s="266" t="s"/>
      <c r="P61" s="31" t="s"/>
    </row>
    <row r="62" spans="1:16">
      <c r="A62" s="20" t="s"/>
      <c r="B62" s="20" t="s"/>
      <c r="C62" s="152" t="s"/>
      <c r="D62" s="152" t="s"/>
      <c r="E62" s="31" t="s"/>
      <c r="F62" s="265" t="s"/>
      <c r="G62" s="266" t="s"/>
      <c r="H62" s="266" t="s"/>
      <c r="I62" s="266" t="s"/>
      <c r="J62" s="267" t="s"/>
      <c r="K62" s="156" t="s"/>
      <c r="M62" s="157" t="s"/>
      <c r="N62" s="31" t="s"/>
      <c r="O62" s="266" t="s"/>
      <c r="P62" s="31" t="s"/>
    </row>
    <row r="63" spans="1:16">
      <c r="A63" s="20" t="s"/>
      <c r="B63" s="20" t="s"/>
      <c r="C63" s="152" t="s"/>
      <c r="D63" s="152" t="s"/>
      <c r="E63" s="31" t="s"/>
      <c r="F63" s="265" t="s"/>
      <c r="G63" s="266" t="s"/>
      <c r="H63" s="266" t="s"/>
      <c r="I63" s="266" t="s"/>
      <c r="J63" s="267" t="s"/>
      <c r="K63" s="156" t="s"/>
      <c r="M63" s="157" t="s"/>
      <c r="N63" s="31" t="s"/>
      <c r="O63" s="266" t="s"/>
      <c r="P63" s="31" t="s"/>
    </row>
    <row r="64" spans="1:16">
      <c r="A64" s="20" t="s"/>
      <c r="B64" s="20" t="s"/>
      <c r="C64" s="152" t="s"/>
      <c r="D64" s="152" t="s"/>
      <c r="E64" s="31" t="s"/>
      <c r="F64" s="265" t="s"/>
      <c r="G64" s="266" t="s"/>
      <c r="H64" s="266" t="s"/>
      <c r="I64" s="266" t="s"/>
      <c r="J64" s="267" t="s"/>
      <c r="K64" s="156" t="s"/>
      <c r="M64" s="157" t="s"/>
      <c r="N64" s="31" t="s"/>
      <c r="O64" s="266" t="s"/>
      <c r="P64" s="31" t="s"/>
    </row>
    <row r="65" spans="1:16">
      <c r="A65" s="20" t="s"/>
      <c r="B65" s="20" t="s"/>
      <c r="C65" s="152" t="s"/>
      <c r="D65" s="152" t="s"/>
      <c r="E65" s="31" t="s"/>
      <c r="F65" s="265" t="s"/>
      <c r="G65" s="266" t="s"/>
      <c r="H65" s="266" t="s"/>
      <c r="I65" s="266" t="s"/>
      <c r="J65" s="267" t="s"/>
      <c r="K65" s="156" t="s"/>
      <c r="M65" s="157" t="s"/>
      <c r="N65" s="31" t="s"/>
      <c r="O65" s="266" t="s"/>
      <c r="P65" s="31" t="s"/>
    </row>
    <row r="66" spans="1:16">
      <c r="A66" s="20" t="s"/>
      <c r="B66" s="20" t="s"/>
      <c r="C66" s="152" t="s"/>
      <c r="D66" s="152" t="s"/>
      <c r="E66" s="31" t="s"/>
      <c r="F66" s="265" t="s"/>
      <c r="G66" s="266" t="s"/>
      <c r="H66" s="266" t="s"/>
      <c r="I66" s="266" t="s"/>
      <c r="J66" s="267" t="s"/>
      <c r="K66" s="156" t="s"/>
      <c r="M66" s="157" t="s"/>
      <c r="N66" s="31" t="s"/>
      <c r="O66" s="266" t="s"/>
      <c r="P66" s="31" t="s"/>
    </row>
    <row r="67" spans="1:16">
      <c r="A67" s="20" t="s"/>
      <c r="B67" s="20" t="s"/>
      <c r="C67" s="152" t="s"/>
      <c r="D67" s="152" t="s"/>
      <c r="E67" s="31" t="s"/>
      <c r="F67" s="265" t="s"/>
      <c r="G67" s="266" t="s"/>
      <c r="H67" s="266" t="s"/>
      <c r="I67" s="266" t="s"/>
      <c r="J67" s="267" t="s"/>
      <c r="K67" s="156" t="s"/>
      <c r="M67" s="157" t="s"/>
      <c r="N67" s="31" t="s"/>
      <c r="O67" s="266" t="s"/>
      <c r="P67" s="31" t="s"/>
    </row>
    <row r="68" spans="1:16">
      <c r="A68" s="20" t="s"/>
      <c r="B68" s="20" t="s"/>
      <c r="C68" s="152" t="s"/>
      <c r="D68" s="152" t="s"/>
      <c r="E68" s="31" t="s"/>
      <c r="F68" s="265" t="s"/>
      <c r="G68" s="266" t="s"/>
      <c r="H68" s="266" t="s"/>
      <c r="I68" s="266" t="s"/>
      <c r="J68" s="267" t="s"/>
      <c r="K68" s="156" t="s"/>
      <c r="M68" s="157" t="s"/>
      <c r="N68" s="31" t="s"/>
      <c r="O68" s="266" t="s"/>
      <c r="P68" s="31" t="s"/>
    </row>
    <row r="69" spans="1:16">
      <c r="A69" s="20" t="s"/>
      <c r="B69" s="20" t="s"/>
      <c r="C69" s="152" t="s"/>
      <c r="D69" s="152" t="s"/>
      <c r="E69" s="31" t="s"/>
      <c r="F69" s="265" t="s"/>
      <c r="G69" s="266" t="s"/>
      <c r="H69" s="266" t="s"/>
      <c r="I69" s="266" t="s"/>
      <c r="J69" s="267" t="s"/>
      <c r="K69" s="156" t="s"/>
      <c r="M69" s="157" t="s"/>
      <c r="N69" s="31" t="s"/>
      <c r="O69" s="266" t="s"/>
      <c r="P69" s="31" t="s"/>
    </row>
    <row r="70" spans="1:16">
      <c r="A70" s="20" t="s"/>
      <c r="B70" s="20" t="s"/>
      <c r="C70" s="152" t="s"/>
      <c r="D70" s="152" t="s"/>
      <c r="E70" s="31" t="s"/>
      <c r="F70" s="265" t="s"/>
      <c r="G70" s="266" t="s"/>
      <c r="H70" s="266" t="s"/>
      <c r="I70" s="266" t="s"/>
      <c r="J70" s="267" t="s"/>
      <c r="K70" s="156" t="s"/>
      <c r="M70" s="157" t="s"/>
      <c r="N70" s="31" t="s"/>
      <c r="O70" s="266" t="s"/>
      <c r="P70" s="31" t="s"/>
    </row>
    <row r="71" spans="1:16">
      <c r="A71" s="20" t="s"/>
      <c r="B71" s="20" t="s"/>
      <c r="C71" s="152" t="s"/>
      <c r="D71" s="152" t="s"/>
      <c r="E71" s="31" t="s"/>
      <c r="F71" s="265" t="s"/>
      <c r="G71" s="266" t="s"/>
      <c r="H71" s="266" t="s"/>
      <c r="I71" s="266" t="s"/>
      <c r="J71" s="267" t="s"/>
      <c r="K71" s="156" t="s"/>
      <c r="M71" s="157" t="s"/>
      <c r="N71" s="31" t="s"/>
      <c r="O71" s="266" t="s"/>
      <c r="P71" s="31" t="s"/>
    </row>
    <row r="72" spans="1:16">
      <c r="A72" s="20" t="s"/>
      <c r="B72" s="20" t="s"/>
      <c r="C72" s="152" t="s"/>
      <c r="D72" s="152" t="s"/>
      <c r="E72" s="31" t="s"/>
      <c r="F72" s="265" t="s"/>
      <c r="G72" s="266" t="s"/>
      <c r="H72" s="266" t="s"/>
      <c r="I72" s="266" t="s"/>
      <c r="J72" s="267" t="s"/>
      <c r="K72" s="156" t="s"/>
      <c r="M72" s="157" t="s"/>
      <c r="N72" s="31" t="s"/>
      <c r="O72" s="266" t="s"/>
      <c r="P72" s="31" t="s"/>
    </row>
    <row r="73" spans="1:16">
      <c r="A73" s="20" t="s"/>
      <c r="B73" s="20" t="s"/>
      <c r="C73" s="152" t="s"/>
      <c r="D73" s="152" t="s"/>
      <c r="E73" s="31" t="s"/>
      <c r="F73" s="265" t="s"/>
      <c r="G73" s="266" t="s"/>
      <c r="H73" s="266" t="s"/>
      <c r="I73" s="266" t="s"/>
      <c r="J73" s="267" t="s"/>
      <c r="K73" s="156" t="s"/>
      <c r="M73" s="157" t="s"/>
      <c r="N73" s="31" t="s"/>
      <c r="O73" s="266" t="s"/>
      <c r="P73" s="31" t="s"/>
    </row>
    <row r="74" spans="1:16">
      <c r="A74" s="20" t="s"/>
      <c r="B74" s="20" t="s"/>
      <c r="C74" s="152" t="s"/>
      <c r="D74" s="152" t="s"/>
      <c r="E74" s="31" t="s"/>
      <c r="F74" s="265" t="s"/>
      <c r="G74" s="266" t="s"/>
      <c r="H74" s="266" t="s"/>
      <c r="I74" s="266" t="s"/>
      <c r="J74" s="267" t="s"/>
      <c r="K74" s="156" t="s"/>
      <c r="M74" s="157" t="s"/>
      <c r="N74" s="31" t="s"/>
      <c r="O74" s="266" t="s"/>
      <c r="P74" s="31" t="s"/>
    </row>
    <row r="75" spans="1:16">
      <c r="A75" s="20" t="s"/>
      <c r="B75" s="20" t="s"/>
      <c r="C75" s="152" t="s"/>
      <c r="D75" s="152" t="s"/>
      <c r="E75" s="31" t="s"/>
      <c r="F75" s="265" t="s"/>
      <c r="G75" s="266" t="s"/>
      <c r="H75" s="266" t="s"/>
      <c r="I75" s="266" t="s"/>
      <c r="J75" s="267" t="s"/>
      <c r="K75" s="156" t="s"/>
      <c r="M75" s="157" t="s"/>
      <c r="N75" s="31" t="s"/>
      <c r="O75" s="266" t="s"/>
      <c r="P75" s="31" t="s"/>
    </row>
    <row r="76" spans="1:16">
      <c r="A76" s="20" t="s"/>
      <c r="B76" s="20" t="s"/>
      <c r="C76" s="152" t="s"/>
      <c r="D76" s="152" t="s"/>
      <c r="E76" s="31" t="s"/>
      <c r="F76" s="265" t="s"/>
      <c r="G76" s="266" t="s"/>
      <c r="H76" s="266" t="s"/>
      <c r="I76" s="266" t="s"/>
      <c r="J76" s="267" t="s"/>
      <c r="K76" s="156" t="s"/>
      <c r="M76" s="157" t="s"/>
      <c r="N76" s="31" t="s"/>
      <c r="O76" s="266" t="s"/>
      <c r="P76" s="31" t="s"/>
    </row>
    <row r="77" spans="1:16">
      <c r="A77" s="20" t="s"/>
      <c r="B77" s="20" t="s"/>
      <c r="C77" s="152" t="s"/>
      <c r="D77" s="152" t="s"/>
      <c r="E77" s="31" t="s"/>
      <c r="F77" s="265" t="s"/>
      <c r="G77" s="266" t="s"/>
      <c r="H77" s="266" t="s"/>
      <c r="I77" s="266" t="s"/>
      <c r="J77" s="267" t="s"/>
      <c r="K77" s="156" t="s"/>
      <c r="M77" s="157" t="s"/>
      <c r="N77" s="31" t="s"/>
      <c r="O77" s="266" t="s"/>
      <c r="P77" s="31" t="s"/>
    </row>
    <row r="78" spans="1:16">
      <c r="A78" s="20" t="s"/>
      <c r="B78" s="20" t="s"/>
      <c r="C78" s="152" t="s"/>
      <c r="D78" s="152" t="s"/>
      <c r="E78" s="31" t="s"/>
      <c r="F78" s="265" t="s"/>
      <c r="G78" s="266" t="s"/>
      <c r="H78" s="266" t="s"/>
      <c r="I78" s="266" t="s"/>
      <c r="J78" s="267" t="s"/>
      <c r="K78" s="156" t="s"/>
      <c r="M78" s="157" t="s"/>
      <c r="N78" s="31" t="s"/>
      <c r="O78" s="266" t="s"/>
      <c r="P78" s="31" t="s"/>
    </row>
    <row r="79" spans="1:16">
      <c r="A79" s="20" t="s"/>
      <c r="B79" s="20" t="s"/>
      <c r="C79" s="152" t="s"/>
      <c r="D79" s="152" t="s"/>
      <c r="E79" s="31" t="s"/>
      <c r="F79" s="265" t="s"/>
      <c r="G79" s="266" t="s"/>
      <c r="H79" s="266" t="s"/>
      <c r="I79" s="266" t="s"/>
      <c r="J79" s="267" t="s"/>
      <c r="K79" s="156" t="s"/>
      <c r="M79" s="157" t="s"/>
      <c r="N79" s="31" t="s"/>
      <c r="O79" s="266" t="s"/>
      <c r="P79" s="31" t="s"/>
    </row>
    <row r="80" spans="1:16">
      <c r="A80" s="20" t="s"/>
      <c r="B80" s="20" t="s"/>
      <c r="C80" s="152" t="s"/>
      <c r="D80" s="152" t="s"/>
      <c r="E80" s="31" t="s"/>
      <c r="F80" s="265" t="s"/>
      <c r="G80" s="266" t="s"/>
      <c r="H80" s="266" t="s"/>
      <c r="I80" s="266" t="s"/>
      <c r="J80" s="267" t="s"/>
      <c r="K80" s="156" t="s"/>
      <c r="M80" s="157" t="s"/>
      <c r="N80" s="31" t="s"/>
      <c r="O80" s="266" t="s"/>
      <c r="P80" s="31" t="s"/>
    </row>
    <row r="81" spans="1:16">
      <c r="A81" s="20" t="s"/>
      <c r="B81" s="20" t="s"/>
      <c r="C81" s="152" t="s"/>
      <c r="D81" s="152" t="s"/>
      <c r="E81" s="31" t="s"/>
      <c r="F81" s="265" t="s"/>
      <c r="G81" s="266" t="s"/>
      <c r="H81" s="266" t="s"/>
      <c r="I81" s="266" t="s"/>
      <c r="J81" s="267" t="s"/>
      <c r="K81" s="156" t="s"/>
      <c r="M81" s="157" t="s"/>
      <c r="N81" s="31" t="s"/>
      <c r="O81" s="266" t="s"/>
      <c r="P81" s="31" t="s"/>
    </row>
    <row r="82" spans="1:16">
      <c r="A82" s="20" t="s"/>
      <c r="B82" s="20" t="s"/>
      <c r="C82" s="152" t="s"/>
      <c r="D82" s="152" t="s"/>
      <c r="E82" s="31" t="s"/>
      <c r="F82" s="265" t="s"/>
      <c r="G82" s="266" t="s"/>
      <c r="H82" s="266" t="s"/>
      <c r="I82" s="266" t="s"/>
      <c r="J82" s="267" t="s"/>
      <c r="K82" s="156" t="s"/>
      <c r="M82" s="157" t="s"/>
      <c r="N82" s="31" t="s"/>
      <c r="O82" s="266" t="s"/>
      <c r="P82" s="31" t="s"/>
    </row>
    <row r="83" spans="1:16">
      <c r="A83" s="20" t="s"/>
      <c r="B83" s="20" t="s"/>
      <c r="C83" s="152" t="s"/>
      <c r="D83" s="152" t="s"/>
      <c r="E83" s="31" t="s"/>
      <c r="F83" s="265" t="s"/>
      <c r="G83" s="266" t="s"/>
      <c r="H83" s="266" t="s"/>
      <c r="I83" s="266" t="s"/>
      <c r="J83" s="267" t="s"/>
      <c r="K83" s="156" t="s"/>
      <c r="M83" s="157" t="s"/>
      <c r="N83" s="31" t="s"/>
      <c r="O83" s="266" t="s"/>
      <c r="P83" s="31" t="s"/>
    </row>
    <row r="84" spans="1:16">
      <c r="A84" s="20" t="s"/>
      <c r="B84" s="20" t="s"/>
      <c r="C84" s="152" t="s"/>
      <c r="D84" s="152" t="s"/>
      <c r="E84" s="31" t="s"/>
      <c r="F84" s="265" t="s"/>
      <c r="G84" s="266" t="s"/>
      <c r="H84" s="266" t="s"/>
      <c r="I84" s="266" t="s"/>
      <c r="J84" s="267" t="s"/>
      <c r="K84" s="156" t="s"/>
      <c r="M84" s="157" t="s"/>
      <c r="N84" s="31" t="s"/>
      <c r="O84" s="266" t="s"/>
      <c r="P84" s="31" t="s"/>
    </row>
    <row r="85" spans="1:16">
      <c r="A85" s="20" t="s"/>
      <c r="B85" s="20" t="s"/>
      <c r="C85" s="152" t="s"/>
      <c r="D85" s="152" t="s"/>
      <c r="E85" s="31" t="s"/>
      <c r="F85" s="265" t="s"/>
      <c r="G85" s="266" t="s"/>
      <c r="H85" s="266" t="s"/>
      <c r="I85" s="266" t="s"/>
      <c r="J85" s="267" t="s"/>
      <c r="K85" s="156" t="s"/>
      <c r="M85" s="157" t="s"/>
      <c r="N85" s="31" t="s"/>
      <c r="O85" s="266" t="s"/>
      <c r="P85" s="31" t="s"/>
    </row>
    <row r="86" spans="1:16">
      <c r="A86" s="20" t="s"/>
      <c r="B86" s="20" t="s"/>
      <c r="C86" s="152" t="s"/>
      <c r="D86" s="152" t="s"/>
      <c r="E86" s="31" t="s"/>
      <c r="F86" s="265" t="s"/>
      <c r="G86" s="266" t="s"/>
      <c r="H86" s="266" t="s"/>
      <c r="I86" s="266" t="s"/>
      <c r="J86" s="267" t="s"/>
      <c r="K86" s="156" t="s"/>
      <c r="M86" s="157" t="s"/>
      <c r="N86" s="31" t="s"/>
      <c r="O86" s="266" t="s"/>
      <c r="P86" s="31" t="s"/>
    </row>
    <row r="87" spans="1:16">
      <c r="A87" s="20" t="s"/>
      <c r="B87" s="20" t="s"/>
      <c r="C87" s="152" t="s"/>
      <c r="D87" s="152" t="s"/>
      <c r="E87" s="31" t="s"/>
      <c r="F87" s="265" t="s"/>
      <c r="G87" s="266" t="s"/>
      <c r="H87" s="266" t="s"/>
      <c r="I87" s="266" t="s"/>
      <c r="J87" s="267" t="s"/>
      <c r="K87" s="156" t="s"/>
      <c r="M87" s="157" t="s"/>
      <c r="N87" s="31" t="s"/>
      <c r="O87" s="266" t="s"/>
      <c r="P87" s="31" t="s"/>
    </row>
    <row r="88" spans="1:16">
      <c r="A88" s="20" t="s"/>
      <c r="B88" s="20" t="s"/>
      <c r="C88" s="152" t="s"/>
      <c r="D88" s="152" t="s"/>
      <c r="E88" s="31" t="s"/>
      <c r="F88" s="265" t="s"/>
      <c r="G88" s="266" t="s"/>
      <c r="H88" s="266" t="s"/>
      <c r="I88" s="266" t="s"/>
      <c r="J88" s="267" t="s"/>
      <c r="K88" s="156" t="s"/>
      <c r="M88" s="157" t="s"/>
      <c r="N88" s="31" t="s"/>
      <c r="O88" s="266" t="s"/>
      <c r="P88" s="31" t="s"/>
    </row>
    <row r="89" spans="1:16">
      <c r="A89" s="20" t="s"/>
      <c r="B89" s="20" t="s"/>
      <c r="C89" s="152" t="s"/>
      <c r="D89" s="152" t="s"/>
      <c r="E89" s="31" t="s"/>
      <c r="F89" s="265" t="s"/>
      <c r="G89" s="266" t="s"/>
      <c r="H89" s="266" t="s"/>
      <c r="I89" s="266" t="s"/>
      <c r="J89" s="267" t="s"/>
      <c r="K89" s="156" t="s"/>
      <c r="M89" s="157" t="s"/>
      <c r="N89" s="31" t="s"/>
      <c r="O89" s="266" t="s"/>
      <c r="P89" s="31" t="s"/>
    </row>
    <row r="90" spans="1:16">
      <c r="A90" s="20" t="s"/>
      <c r="B90" s="20" t="s"/>
      <c r="C90" s="152" t="s"/>
      <c r="D90" s="152" t="s"/>
      <c r="E90" s="31" t="s"/>
      <c r="F90" s="265" t="s"/>
      <c r="G90" s="266" t="s"/>
      <c r="H90" s="266" t="s"/>
      <c r="I90" s="266" t="s"/>
      <c r="J90" s="267" t="s"/>
      <c r="K90" s="156" t="s"/>
      <c r="M90" s="157" t="s"/>
      <c r="N90" s="31" t="s"/>
      <c r="O90" s="266" t="s"/>
      <c r="P90" s="31" t="s"/>
    </row>
    <row r="91" spans="1:16">
      <c r="A91" s="20" t="s"/>
      <c r="B91" s="20" t="s"/>
      <c r="C91" s="152" t="s"/>
      <c r="D91" s="152" t="s"/>
      <c r="E91" s="31" t="s"/>
      <c r="F91" s="265" t="s"/>
      <c r="G91" s="266" t="s"/>
      <c r="H91" s="266" t="s"/>
      <c r="I91" s="266" t="s"/>
      <c r="J91" s="267" t="s"/>
      <c r="K91" s="156" t="s"/>
      <c r="M91" s="157" t="s"/>
      <c r="N91" s="31" t="s"/>
      <c r="O91" s="266" t="s"/>
      <c r="P91" s="31" t="s"/>
    </row>
    <row r="92" spans="1:16">
      <c r="A92" s="20" t="s"/>
      <c r="B92" s="20" t="s"/>
      <c r="C92" s="152" t="s"/>
      <c r="D92" s="152" t="s"/>
      <c r="E92" s="31" t="s"/>
      <c r="F92" s="265" t="s"/>
      <c r="G92" s="266" t="s"/>
      <c r="H92" s="266" t="s"/>
      <c r="I92" s="266" t="s"/>
      <c r="J92" s="267" t="s"/>
      <c r="K92" s="156" t="s"/>
      <c r="M92" s="157" t="s"/>
      <c r="N92" s="31" t="s"/>
      <c r="O92" s="266" t="s"/>
      <c r="P92" s="31" t="s"/>
    </row>
    <row r="93" spans="1:16">
      <c r="A93" s="20" t="s"/>
      <c r="B93" s="20" t="s"/>
      <c r="C93" s="152" t="s"/>
      <c r="D93" s="152" t="s"/>
      <c r="E93" s="31" t="s"/>
      <c r="F93" s="265" t="s"/>
      <c r="G93" s="266" t="s"/>
      <c r="H93" s="266" t="s"/>
      <c r="I93" s="266" t="s"/>
      <c r="J93" s="267" t="s"/>
      <c r="K93" s="156" t="s"/>
      <c r="M93" s="157" t="s"/>
      <c r="N93" s="31" t="s"/>
      <c r="O93" s="266" t="s"/>
      <c r="P93" s="31" t="s"/>
    </row>
    <row r="94" spans="1:16">
      <c r="A94" s="20" t="s"/>
      <c r="B94" s="20" t="s"/>
      <c r="C94" s="152" t="s"/>
      <c r="D94" s="152" t="s"/>
      <c r="E94" s="31" t="s"/>
      <c r="F94" s="265" t="s"/>
      <c r="G94" s="266" t="s"/>
      <c r="H94" s="266" t="s"/>
      <c r="I94" s="266" t="s"/>
      <c r="J94" s="267" t="s"/>
      <c r="K94" s="156" t="s"/>
      <c r="M94" s="157" t="s"/>
      <c r="N94" s="31" t="s"/>
      <c r="O94" s="266" t="s"/>
      <c r="P94" s="31" t="s"/>
    </row>
    <row r="95" spans="1:16">
      <c r="A95" s="20" t="s"/>
      <c r="B95" s="20" t="s"/>
      <c r="C95" s="152" t="s"/>
      <c r="D95" s="152" t="s"/>
      <c r="E95" s="31" t="s"/>
      <c r="F95" s="265" t="s"/>
      <c r="G95" s="266" t="s"/>
      <c r="H95" s="266" t="s"/>
      <c r="I95" s="266" t="s"/>
      <c r="J95" s="267" t="s"/>
      <c r="K95" s="156" t="s"/>
      <c r="M95" s="157" t="s"/>
      <c r="N95" s="31" t="s"/>
      <c r="O95" s="266" t="s"/>
      <c r="P95" s="31" t="s"/>
    </row>
    <row r="96" spans="1:16">
      <c r="A96" s="20" t="s"/>
      <c r="B96" s="20" t="s"/>
      <c r="C96" s="152" t="s"/>
      <c r="D96" s="152" t="s"/>
      <c r="E96" s="31" t="s"/>
      <c r="F96" s="265" t="s"/>
      <c r="G96" s="266" t="s"/>
      <c r="H96" s="266" t="s"/>
      <c r="I96" s="266" t="s"/>
      <c r="J96" s="267" t="s"/>
      <c r="K96" s="156" t="s"/>
      <c r="M96" s="157" t="s"/>
      <c r="N96" s="31" t="s"/>
      <c r="O96" s="266" t="s"/>
      <c r="P96" s="31" t="s"/>
    </row>
    <row r="97" spans="1:16">
      <c r="A97" s="20" t="s"/>
      <c r="B97" s="20" t="s"/>
      <c r="C97" s="152" t="s"/>
      <c r="D97" s="152" t="s"/>
      <c r="E97" s="31" t="s"/>
      <c r="F97" s="265" t="s"/>
      <c r="G97" s="266" t="s"/>
      <c r="H97" s="266" t="s"/>
      <c r="I97" s="266" t="s"/>
      <c r="J97" s="267" t="s"/>
      <c r="K97" s="156" t="s"/>
      <c r="M97" s="157" t="s"/>
      <c r="N97" s="31" t="s"/>
      <c r="O97" s="266" t="s"/>
      <c r="P97" s="31" t="s"/>
    </row>
    <row r="98" spans="1:16">
      <c r="A98" s="20" t="s"/>
      <c r="B98" s="20" t="s"/>
      <c r="C98" s="152" t="s"/>
      <c r="D98" s="152" t="s"/>
      <c r="E98" s="31" t="s"/>
      <c r="F98" s="265" t="s"/>
      <c r="G98" s="266" t="s"/>
      <c r="H98" s="266" t="s"/>
      <c r="I98" s="266" t="s"/>
      <c r="J98" s="267" t="s"/>
      <c r="K98" s="156" t="s"/>
      <c r="M98" s="157" t="s"/>
      <c r="N98" s="31" t="s"/>
      <c r="O98" s="266" t="s"/>
      <c r="P98" s="31" t="s"/>
    </row>
    <row r="99" spans="1:16">
      <c r="A99" s="20" t="s"/>
      <c r="B99" s="20" t="s"/>
      <c r="C99" s="152" t="s"/>
      <c r="D99" s="152" t="s"/>
      <c r="E99" s="31" t="s"/>
      <c r="F99" s="265" t="s"/>
      <c r="G99" s="266" t="s"/>
      <c r="H99" s="266" t="s"/>
      <c r="I99" s="266" t="s"/>
      <c r="J99" s="267" t="s"/>
      <c r="K99" s="156" t="s"/>
      <c r="M99" s="157" t="s"/>
      <c r="N99" s="31" t="s"/>
      <c r="O99" s="266" t="s"/>
      <c r="P99" s="31" t="s"/>
    </row>
    <row r="100" spans="1:16">
      <c r="A100" s="20" t="s"/>
      <c r="B100" s="20" t="s"/>
      <c r="C100" s="152" t="s"/>
      <c r="D100" s="152" t="s"/>
      <c r="E100" s="31" t="s"/>
      <c r="F100" s="265" t="s"/>
      <c r="G100" s="266" t="s"/>
      <c r="H100" s="266" t="s"/>
      <c r="I100" s="266" t="s"/>
      <c r="J100" s="267" t="s"/>
      <c r="K100" s="156" t="s"/>
      <c r="M100" s="157" t="s"/>
      <c r="N100" s="31" t="s"/>
      <c r="O100" s="266" t="s"/>
      <c r="P100" s="31" t="s"/>
    </row>
    <row r="101" spans="1:16">
      <c r="A101" s="20" t="s"/>
      <c r="B101" s="20" t="s"/>
      <c r="C101" s="152" t="s"/>
      <c r="D101" s="152" t="s"/>
      <c r="E101" s="31" t="s"/>
      <c r="F101" s="265" t="s"/>
      <c r="G101" s="266" t="s"/>
      <c r="H101" s="266" t="s"/>
      <c r="I101" s="266" t="s"/>
      <c r="J101" s="267" t="s"/>
      <c r="K101" s="156" t="s"/>
      <c r="M101" s="157" t="s"/>
      <c r="N101" s="31" t="s"/>
      <c r="O101" s="266" t="s"/>
      <c r="P101" s="31" t="s"/>
    </row>
    <row r="102" spans="1:16">
      <c r="A102" s="20" t="s"/>
      <c r="B102" s="20" t="s"/>
      <c r="C102" s="152" t="s"/>
      <c r="D102" s="152" t="s"/>
      <c r="E102" s="31" t="s"/>
      <c r="F102" s="265" t="s"/>
      <c r="G102" s="266" t="s"/>
      <c r="H102" s="266" t="s"/>
      <c r="I102" s="266" t="s"/>
      <c r="J102" s="267" t="s"/>
      <c r="K102" s="156" t="s"/>
      <c r="M102" s="157" t="s"/>
      <c r="N102" s="31" t="s"/>
      <c r="O102" s="266" t="s"/>
      <c r="P102" s="31" t="s"/>
    </row>
    <row r="103" spans="1:16">
      <c r="A103" s="20" t="s"/>
      <c r="B103" s="20" t="s"/>
      <c r="C103" s="152" t="s"/>
      <c r="D103" s="152" t="s"/>
      <c r="E103" s="31" t="s"/>
      <c r="F103" s="265" t="s"/>
      <c r="G103" s="266" t="s"/>
      <c r="H103" s="266" t="s"/>
      <c r="I103" s="266" t="s"/>
      <c r="J103" s="267" t="s"/>
      <c r="K103" s="156" t="s"/>
      <c r="M103" s="157" t="s"/>
      <c r="N103" s="31" t="s"/>
      <c r="O103" s="266" t="s"/>
      <c r="P103" s="31" t="s"/>
    </row>
    <row r="104" spans="1:16">
      <c r="A104" s="20" t="s"/>
      <c r="B104" s="20" t="s"/>
      <c r="C104" s="152" t="s"/>
      <c r="D104" s="152" t="s"/>
      <c r="E104" s="31" t="s"/>
      <c r="F104" s="265" t="s"/>
      <c r="G104" s="266" t="s"/>
      <c r="H104" s="266" t="s"/>
      <c r="I104" s="266" t="s"/>
      <c r="J104" s="267" t="s"/>
      <c r="K104" s="156" t="s"/>
      <c r="M104" s="157" t="s"/>
      <c r="N104" s="31" t="s"/>
      <c r="O104" s="266" t="s"/>
      <c r="P104" s="31" t="s"/>
    </row>
    <row r="105" spans="1:16">
      <c r="A105" s="20" t="s"/>
      <c r="B105" s="20" t="s"/>
      <c r="C105" s="152" t="s"/>
      <c r="D105" s="152" t="s"/>
      <c r="E105" s="31" t="s"/>
      <c r="F105" s="265" t="s"/>
      <c r="G105" s="266" t="s"/>
      <c r="H105" s="266" t="s"/>
      <c r="I105" s="266" t="s"/>
      <c r="J105" s="267" t="s"/>
      <c r="K105" s="156" t="s"/>
      <c r="M105" s="157" t="s"/>
      <c r="N105" s="31" t="s"/>
      <c r="O105" s="266" t="s"/>
      <c r="P105" s="31" t="s"/>
    </row>
    <row r="106" spans="1:16">
      <c r="A106" s="20" t="s"/>
      <c r="B106" s="20" t="s"/>
      <c r="C106" s="152" t="s"/>
      <c r="D106" s="152" t="s"/>
      <c r="E106" s="31" t="s"/>
      <c r="F106" s="265" t="s"/>
      <c r="G106" s="266" t="s"/>
      <c r="H106" s="266" t="s"/>
      <c r="I106" s="266" t="s"/>
      <c r="J106" s="267" t="s"/>
      <c r="K106" s="156" t="s"/>
      <c r="M106" s="157" t="s"/>
      <c r="N106" s="31" t="s"/>
      <c r="O106" s="266" t="s"/>
      <c r="P106" s="31" t="s"/>
    </row>
    <row r="107" spans="1:16">
      <c r="A107" s="20" t="s"/>
      <c r="B107" s="20" t="s"/>
      <c r="C107" s="152" t="s"/>
      <c r="D107" s="152" t="s"/>
      <c r="E107" s="31" t="s"/>
      <c r="F107" s="265" t="s"/>
      <c r="G107" s="266" t="s"/>
      <c r="H107" s="266" t="s"/>
      <c r="I107" s="266" t="s"/>
      <c r="J107" s="267" t="s"/>
      <c r="K107" s="156" t="s"/>
      <c r="M107" s="157" t="s"/>
      <c r="N107" s="31" t="s"/>
      <c r="O107" s="266" t="s"/>
      <c r="P107" s="31" t="s"/>
    </row>
    <row r="108" spans="1:16">
      <c r="A108" s="20" t="s"/>
      <c r="B108" s="20" t="s"/>
      <c r="C108" s="152" t="s"/>
      <c r="D108" s="152" t="s"/>
      <c r="E108" s="31" t="s"/>
      <c r="F108" s="265" t="s"/>
      <c r="G108" s="266" t="s"/>
      <c r="H108" s="266" t="s"/>
      <c r="I108" s="266" t="s"/>
      <c r="J108" s="267" t="s"/>
      <c r="K108" s="156" t="s"/>
      <c r="M108" s="157" t="s"/>
      <c r="N108" s="31" t="s"/>
      <c r="O108" s="266" t="s"/>
      <c r="P108" s="31" t="s"/>
    </row>
    <row r="109" spans="1:16">
      <c r="A109" s="20" t="s"/>
      <c r="B109" s="20" t="s"/>
      <c r="C109" s="152" t="s"/>
      <c r="D109" s="152" t="s"/>
      <c r="E109" s="31" t="s"/>
      <c r="F109" s="265" t="s"/>
      <c r="G109" s="266" t="s"/>
      <c r="H109" s="266" t="s"/>
      <c r="I109" s="266" t="s"/>
      <c r="J109" s="267" t="s"/>
      <c r="K109" s="156" t="s"/>
      <c r="M109" s="157" t="s"/>
      <c r="N109" s="31" t="s"/>
      <c r="O109" s="266" t="s"/>
      <c r="P109" s="31" t="s"/>
    </row>
    <row r="110" spans="1:16">
      <c r="A110" s="20" t="s"/>
      <c r="B110" s="20" t="s"/>
      <c r="C110" s="152" t="s"/>
      <c r="D110" s="152" t="s"/>
      <c r="E110" s="31" t="s"/>
      <c r="F110" s="265" t="s"/>
      <c r="G110" s="266" t="s"/>
      <c r="H110" s="266" t="s"/>
      <c r="I110" s="266" t="s"/>
      <c r="J110" s="267" t="s"/>
      <c r="K110" s="156" t="s"/>
      <c r="M110" s="157" t="s"/>
      <c r="N110" s="31" t="s"/>
      <c r="O110" s="266" t="s"/>
      <c r="P110" s="31" t="s"/>
    </row>
    <row r="111" spans="1:16">
      <c r="A111" s="20" t="s"/>
      <c r="B111" s="20" t="s"/>
      <c r="C111" s="152" t="s"/>
      <c r="D111" s="152" t="s"/>
      <c r="E111" s="31" t="s"/>
      <c r="F111" s="265" t="s"/>
      <c r="G111" s="266" t="s"/>
      <c r="H111" s="266" t="s"/>
      <c r="I111" s="266" t="s"/>
      <c r="J111" s="267" t="s"/>
      <c r="K111" s="156" t="s"/>
      <c r="M111" s="157" t="s"/>
      <c r="N111" s="31" t="s"/>
      <c r="O111" s="266" t="s"/>
      <c r="P111" s="31" t="s"/>
    </row>
    <row r="112" spans="1:16">
      <c r="A112" s="20" t="s"/>
      <c r="B112" s="20" t="s"/>
      <c r="C112" s="152" t="s"/>
      <c r="D112" s="152" t="s"/>
      <c r="E112" s="31" t="s"/>
      <c r="F112" s="265" t="s"/>
      <c r="G112" s="266" t="s"/>
      <c r="H112" s="266" t="s"/>
      <c r="I112" s="266" t="s"/>
      <c r="J112" s="267" t="s"/>
      <c r="K112" s="156" t="s"/>
      <c r="M112" s="157" t="s"/>
      <c r="N112" s="31" t="s"/>
      <c r="O112" s="266" t="s"/>
      <c r="P112" s="31" t="s"/>
    </row>
    <row r="113" spans="1:16">
      <c r="A113" s="20" t="s"/>
      <c r="B113" s="20" t="s"/>
      <c r="C113" s="152" t="s"/>
      <c r="D113" s="152" t="s"/>
      <c r="E113" s="31" t="s"/>
      <c r="F113" s="265" t="s"/>
      <c r="G113" s="266" t="s"/>
      <c r="H113" s="266" t="s"/>
      <c r="I113" s="266" t="s"/>
      <c r="J113" s="267" t="s"/>
      <c r="K113" s="156" t="s"/>
      <c r="M113" s="157" t="s"/>
      <c r="N113" s="31" t="s"/>
      <c r="O113" s="266" t="s"/>
      <c r="P113" s="31" t="s"/>
    </row>
    <row r="114" spans="1:16">
      <c r="A114" s="20" t="s"/>
      <c r="B114" s="20" t="s"/>
      <c r="C114" s="152" t="s"/>
      <c r="D114" s="152" t="s"/>
      <c r="E114" s="31" t="s"/>
      <c r="F114" s="265" t="s"/>
      <c r="G114" s="266" t="s"/>
      <c r="H114" s="266" t="s"/>
      <c r="I114" s="266" t="s"/>
      <c r="J114" s="267" t="s"/>
      <c r="K114" s="156" t="s"/>
      <c r="M114" s="157" t="s"/>
      <c r="N114" s="31" t="s"/>
      <c r="O114" s="266" t="s"/>
      <c r="P114" s="31" t="s"/>
    </row>
    <row r="115" spans="1:16">
      <c r="A115" s="20" t="s"/>
      <c r="B115" s="20" t="s"/>
      <c r="C115" s="152" t="s"/>
      <c r="D115" s="152" t="s"/>
      <c r="E115" s="31" t="s"/>
      <c r="F115" s="265" t="s"/>
      <c r="G115" s="266" t="s"/>
      <c r="H115" s="266" t="s"/>
      <c r="I115" s="266" t="s"/>
      <c r="J115" s="267" t="s"/>
      <c r="K115" s="156" t="s"/>
      <c r="M115" s="157" t="s"/>
      <c r="N115" s="31" t="s"/>
      <c r="O115" s="266" t="s"/>
      <c r="P115" s="31" t="s"/>
    </row>
    <row r="116" spans="1:16">
      <c r="A116" s="20" t="s"/>
      <c r="B116" s="20" t="s"/>
      <c r="C116" s="152" t="s"/>
      <c r="D116" s="152" t="s"/>
      <c r="E116" s="31" t="s"/>
      <c r="F116" s="265" t="s"/>
      <c r="G116" s="266" t="s"/>
      <c r="H116" s="266" t="s"/>
      <c r="I116" s="266" t="s"/>
      <c r="J116" s="267" t="s"/>
      <c r="K116" s="156" t="s"/>
      <c r="M116" s="157" t="s"/>
      <c r="N116" s="31" t="s"/>
      <c r="O116" s="266" t="s"/>
      <c r="P116" s="31" t="s"/>
    </row>
    <row r="117" spans="1:16">
      <c r="A117" s="20" t="s"/>
      <c r="B117" s="20" t="s"/>
      <c r="C117" s="152" t="s"/>
      <c r="D117" s="152" t="s"/>
      <c r="E117" s="31" t="s"/>
      <c r="F117" s="265" t="s"/>
      <c r="G117" s="266" t="s"/>
      <c r="H117" s="266" t="s"/>
      <c r="I117" s="266" t="s"/>
      <c r="J117" s="267" t="s"/>
      <c r="K117" s="156" t="s"/>
      <c r="M117" s="157" t="s"/>
      <c r="N117" s="31" t="s"/>
      <c r="O117" s="266" t="s"/>
      <c r="P117" s="31" t="s"/>
    </row>
    <row r="118" spans="1:16">
      <c r="A118" s="20" t="s"/>
      <c r="B118" s="20" t="s"/>
      <c r="C118" s="152" t="s"/>
      <c r="D118" s="152" t="s"/>
      <c r="E118" s="31" t="s"/>
      <c r="F118" s="265" t="s"/>
      <c r="G118" s="266" t="s"/>
      <c r="H118" s="266" t="s"/>
      <c r="I118" s="266" t="s"/>
      <c r="J118" s="267" t="s"/>
      <c r="K118" s="156" t="s"/>
      <c r="M118" s="157" t="s"/>
      <c r="N118" s="31" t="s"/>
      <c r="O118" s="266" t="s"/>
      <c r="P118" s="31" t="s"/>
    </row>
    <row r="119" spans="1:16">
      <c r="A119" s="20" t="s"/>
      <c r="B119" s="20" t="s"/>
      <c r="C119" s="152" t="s"/>
      <c r="D119" s="152" t="s"/>
      <c r="E119" s="31" t="s"/>
      <c r="F119" s="265" t="s"/>
      <c r="G119" s="266" t="s"/>
      <c r="H119" s="266" t="s"/>
      <c r="I119" s="266" t="s"/>
      <c r="J119" s="267" t="s"/>
      <c r="K119" s="156" t="s"/>
      <c r="M119" s="157" t="s"/>
      <c r="N119" s="31" t="s"/>
      <c r="O119" s="266" t="s"/>
      <c r="P119" s="31" t="s"/>
    </row>
    <row r="120" spans="1:16">
      <c r="A120" s="20" t="s"/>
      <c r="B120" s="20" t="s"/>
      <c r="C120" s="152" t="s"/>
      <c r="D120" s="152" t="s"/>
      <c r="E120" s="31" t="s"/>
      <c r="F120" s="265" t="s"/>
      <c r="G120" s="266" t="s"/>
      <c r="H120" s="266" t="s"/>
      <c r="I120" s="266" t="s"/>
      <c r="J120" s="267" t="s"/>
      <c r="K120" s="156" t="s"/>
      <c r="M120" s="157" t="s"/>
      <c r="N120" s="31" t="s"/>
      <c r="O120" s="266" t="s"/>
      <c r="P120" s="31" t="s"/>
    </row>
    <row r="121" spans="1:16">
      <c r="A121" s="20" t="s"/>
      <c r="B121" s="20" t="s"/>
      <c r="C121" s="152" t="s"/>
      <c r="D121" s="152" t="s"/>
      <c r="E121" s="31" t="s"/>
      <c r="F121" s="265" t="s"/>
      <c r="G121" s="266" t="s"/>
      <c r="H121" s="266" t="s"/>
      <c r="I121" s="266" t="s"/>
      <c r="J121" s="267" t="s"/>
      <c r="K121" s="156" t="s"/>
      <c r="M121" s="157" t="s"/>
      <c r="N121" s="31" t="s"/>
      <c r="O121" s="266" t="s"/>
      <c r="P121" s="31" t="s"/>
    </row>
    <row r="122" spans="1:16">
      <c r="A122" s="20" t="s"/>
      <c r="B122" s="20" t="s"/>
      <c r="C122" s="152" t="s"/>
      <c r="D122" s="152" t="s"/>
      <c r="E122" s="31" t="s"/>
      <c r="F122" s="265" t="s"/>
      <c r="G122" s="266" t="s"/>
      <c r="H122" s="266" t="s"/>
      <c r="I122" s="266" t="s"/>
      <c r="J122" s="267" t="s"/>
      <c r="K122" s="156" t="s"/>
      <c r="M122" s="157" t="s"/>
      <c r="N122" s="31" t="s"/>
      <c r="O122" s="266" t="s"/>
      <c r="P122" s="31" t="s"/>
    </row>
    <row r="123" spans="1:16">
      <c r="A123" s="20" t="s"/>
      <c r="B123" s="20" t="s"/>
      <c r="C123" s="152" t="s"/>
      <c r="D123" s="152" t="s"/>
      <c r="E123" s="31" t="s"/>
      <c r="F123" s="265" t="s"/>
      <c r="G123" s="266" t="s"/>
      <c r="H123" s="266" t="s"/>
      <c r="I123" s="266" t="s"/>
      <c r="J123" s="267" t="s"/>
      <c r="K123" s="156" t="s"/>
      <c r="M123" s="157" t="s"/>
      <c r="N123" s="31" t="s"/>
      <c r="O123" s="266" t="s"/>
      <c r="P123" s="31" t="s"/>
    </row>
    <row r="124" spans="1:16">
      <c r="A124" s="20" t="s"/>
      <c r="B124" s="20" t="s"/>
      <c r="C124" s="152" t="s"/>
      <c r="D124" s="152" t="s"/>
      <c r="E124" s="31" t="s"/>
      <c r="F124" s="265" t="s"/>
      <c r="G124" s="266" t="s"/>
      <c r="H124" s="266" t="s"/>
      <c r="I124" s="266" t="s"/>
      <c r="J124" s="267" t="s"/>
      <c r="K124" s="156" t="s"/>
      <c r="M124" s="157" t="s"/>
      <c r="N124" s="31" t="s"/>
      <c r="O124" s="266" t="s"/>
      <c r="P124" s="31" t="s"/>
    </row>
    <row r="125" spans="1:16">
      <c r="A125" s="20" t="s"/>
      <c r="B125" s="20" t="s"/>
      <c r="C125" s="152" t="s"/>
      <c r="D125" s="152" t="s"/>
      <c r="E125" s="31" t="s"/>
      <c r="F125" s="265" t="s"/>
      <c r="G125" s="266" t="s"/>
      <c r="H125" s="266" t="s"/>
      <c r="I125" s="266" t="s"/>
      <c r="J125" s="267" t="s"/>
      <c r="K125" s="156" t="s"/>
      <c r="M125" s="157" t="s"/>
      <c r="N125" s="31" t="s"/>
      <c r="O125" s="266" t="s"/>
      <c r="P125" s="31" t="s"/>
    </row>
    <row r="126" spans="1:16">
      <c r="A126" s="20" t="s"/>
      <c r="B126" s="20" t="s"/>
      <c r="C126" s="152" t="s"/>
      <c r="D126" s="152" t="s"/>
      <c r="E126" s="31" t="s"/>
      <c r="F126" s="265" t="s"/>
      <c r="G126" s="266" t="s"/>
      <c r="H126" s="266" t="s"/>
      <c r="I126" s="266" t="s"/>
      <c r="J126" s="267" t="s"/>
      <c r="K126" s="156" t="s"/>
      <c r="M126" s="157" t="s"/>
      <c r="N126" s="31" t="s"/>
      <c r="O126" s="266" t="s"/>
      <c r="P126" s="31" t="s"/>
    </row>
    <row r="127" spans="1:16">
      <c r="A127" s="20" t="s"/>
      <c r="B127" s="20" t="s"/>
      <c r="C127" s="152" t="s"/>
      <c r="D127" s="152" t="s"/>
      <c r="E127" s="31" t="s"/>
      <c r="F127" s="265" t="s"/>
      <c r="G127" s="266" t="s"/>
      <c r="H127" s="266" t="s"/>
      <c r="I127" s="266" t="s"/>
      <c r="J127" s="267" t="s"/>
      <c r="K127" s="156" t="s"/>
      <c r="M127" s="157" t="s"/>
      <c r="N127" s="31" t="s"/>
      <c r="O127" s="266" t="s"/>
      <c r="P127" s="31" t="s"/>
    </row>
    <row r="128" spans="1:16">
      <c r="A128" s="20" t="s"/>
      <c r="B128" s="20" t="s"/>
      <c r="C128" s="152" t="s"/>
      <c r="D128" s="152" t="s"/>
      <c r="E128" s="31" t="s"/>
      <c r="F128" s="265" t="s"/>
      <c r="G128" s="266" t="s"/>
      <c r="H128" s="266" t="s"/>
      <c r="I128" s="266" t="s"/>
      <c r="J128" s="267" t="s"/>
      <c r="K128" s="156" t="s"/>
      <c r="M128" s="157" t="s"/>
      <c r="N128" s="31" t="s"/>
      <c r="O128" s="266" t="s"/>
      <c r="P128" s="31" t="s"/>
    </row>
    <row r="129" spans="1:16">
      <c r="A129" s="20" t="s"/>
      <c r="B129" s="20" t="s"/>
      <c r="C129" s="152" t="s"/>
      <c r="D129" s="152" t="s"/>
      <c r="E129" s="31" t="s"/>
      <c r="F129" s="265" t="s"/>
      <c r="G129" s="266" t="s"/>
      <c r="H129" s="266" t="s"/>
      <c r="I129" s="266" t="s"/>
      <c r="J129" s="267" t="s"/>
      <c r="K129" s="156" t="s"/>
      <c r="M129" s="157" t="s"/>
      <c r="N129" s="31" t="s"/>
      <c r="O129" s="266" t="s"/>
      <c r="P129" s="31" t="s"/>
    </row>
    <row r="130" spans="1:16">
      <c r="A130" s="20" t="s"/>
      <c r="B130" s="20" t="s"/>
      <c r="C130" s="152" t="s"/>
      <c r="D130" s="152" t="s"/>
      <c r="E130" s="31" t="s"/>
      <c r="F130" s="265" t="s"/>
      <c r="G130" s="266" t="s"/>
      <c r="H130" s="266" t="s"/>
      <c r="I130" s="266" t="s"/>
      <c r="J130" s="267" t="s"/>
      <c r="K130" s="156" t="s"/>
      <c r="M130" s="157" t="s"/>
      <c r="N130" s="31" t="s"/>
      <c r="O130" s="266" t="s"/>
      <c r="P130" s="31" t="s"/>
    </row>
    <row r="131" spans="1:16">
      <c r="A131" s="20" t="s"/>
      <c r="B131" s="20" t="s"/>
      <c r="C131" s="152" t="s"/>
      <c r="D131" s="152" t="s"/>
      <c r="E131" s="31" t="s"/>
      <c r="F131" s="265" t="s"/>
      <c r="G131" s="266" t="s"/>
      <c r="H131" s="266" t="s"/>
      <c r="I131" s="266" t="s"/>
      <c r="J131" s="267" t="s"/>
      <c r="K131" s="156" t="s"/>
      <c r="M131" s="157" t="s"/>
      <c r="N131" s="31" t="s"/>
      <c r="O131" s="266" t="s"/>
      <c r="P131" s="31" t="s"/>
    </row>
    <row r="132" spans="1:16">
      <c r="A132" s="20" t="s"/>
      <c r="B132" s="20" t="s"/>
      <c r="C132" s="152" t="s"/>
      <c r="D132" s="152" t="s"/>
      <c r="E132" s="31" t="s"/>
      <c r="F132" s="265" t="s"/>
      <c r="G132" s="266" t="s"/>
      <c r="H132" s="266" t="s"/>
      <c r="I132" s="266" t="s"/>
      <c r="J132" s="267" t="s"/>
      <c r="K132" s="156" t="s"/>
      <c r="M132" s="157" t="s"/>
      <c r="N132" s="31" t="s"/>
      <c r="O132" s="266" t="s"/>
      <c r="P132" s="31" t="s"/>
    </row>
    <row r="133" spans="1:16">
      <c r="A133" s="20" t="s"/>
      <c r="B133" s="20" t="s"/>
      <c r="C133" s="152" t="s"/>
      <c r="D133" s="152" t="s"/>
      <c r="E133" s="31" t="s"/>
      <c r="F133" s="265" t="s"/>
      <c r="G133" s="266" t="s"/>
      <c r="H133" s="266" t="s"/>
      <c r="I133" s="266" t="s"/>
      <c r="J133" s="267" t="s"/>
      <c r="K133" s="156" t="s"/>
      <c r="M133" s="157" t="s"/>
      <c r="N133" s="31" t="s"/>
      <c r="O133" s="266" t="s"/>
      <c r="P133" s="31" t="s"/>
    </row>
    <row r="134" spans="1:16">
      <c r="A134" s="20" t="s"/>
      <c r="B134" s="20" t="s"/>
      <c r="C134" s="152" t="s"/>
      <c r="D134" s="152" t="s"/>
      <c r="E134" s="31" t="s"/>
      <c r="F134" s="265" t="s"/>
      <c r="G134" s="266" t="s"/>
      <c r="H134" s="266" t="s"/>
      <c r="I134" s="266" t="s"/>
      <c r="J134" s="267" t="s"/>
      <c r="K134" s="156" t="s"/>
      <c r="M134" s="157" t="s"/>
      <c r="N134" s="31" t="s"/>
      <c r="O134" s="266" t="s"/>
      <c r="P134" s="31" t="s"/>
    </row>
    <row r="135" spans="1:16">
      <c r="A135" s="20" t="s"/>
      <c r="B135" s="20" t="s"/>
      <c r="C135" s="152" t="s"/>
      <c r="D135" s="152" t="s"/>
      <c r="E135" s="31" t="s"/>
      <c r="F135" s="265" t="s"/>
      <c r="G135" s="266" t="s"/>
      <c r="H135" s="266" t="s"/>
      <c r="I135" s="266" t="s"/>
      <c r="J135" s="267" t="s"/>
      <c r="K135" s="156" t="s"/>
      <c r="M135" s="157" t="s"/>
      <c r="N135" s="31" t="s"/>
      <c r="O135" s="266" t="s"/>
      <c r="P135" s="31" t="s"/>
    </row>
    <row r="136" spans="1:16">
      <c r="A136" s="20" t="s"/>
      <c r="B136" s="20" t="s"/>
      <c r="C136" s="152" t="s"/>
      <c r="D136" s="152" t="s"/>
      <c r="E136" s="31" t="s"/>
      <c r="F136" s="265" t="s"/>
      <c r="G136" s="266" t="s"/>
      <c r="H136" s="266" t="s"/>
      <c r="I136" s="266" t="s"/>
      <c r="J136" s="267" t="s"/>
      <c r="K136" s="156" t="s"/>
      <c r="M136" s="157" t="s"/>
      <c r="N136" s="31" t="s"/>
      <c r="O136" s="266" t="s"/>
      <c r="P136" s="31" t="s"/>
    </row>
    <row r="137" spans="1:16">
      <c r="A137" s="20" t="s"/>
      <c r="B137" s="20" t="s"/>
      <c r="C137" s="152" t="s"/>
      <c r="D137" s="152" t="s"/>
      <c r="E137" s="31" t="s"/>
      <c r="F137" s="265" t="s"/>
      <c r="G137" s="266" t="s"/>
      <c r="H137" s="266" t="s"/>
      <c r="I137" s="266" t="s"/>
      <c r="J137" s="267" t="s"/>
      <c r="K137" s="156" t="s"/>
      <c r="M137" s="157" t="s"/>
      <c r="N137" s="31" t="s"/>
      <c r="O137" s="266" t="s"/>
      <c r="P137" s="31" t="s"/>
    </row>
    <row r="138" spans="1:16">
      <c r="A138" s="20" t="s"/>
      <c r="B138" s="20" t="s"/>
      <c r="C138" s="152" t="s"/>
      <c r="D138" s="152" t="s"/>
      <c r="E138" s="31" t="s"/>
      <c r="F138" s="265" t="s"/>
      <c r="G138" s="266" t="s"/>
      <c r="H138" s="266" t="s"/>
      <c r="I138" s="266" t="s"/>
      <c r="J138" s="267" t="s"/>
      <c r="K138" s="156" t="s"/>
      <c r="M138" s="157" t="s"/>
      <c r="N138" s="31" t="s"/>
      <c r="O138" s="266" t="s"/>
      <c r="P138" s="31" t="s"/>
    </row>
    <row r="139" spans="1:16">
      <c r="A139" s="20" t="s"/>
      <c r="B139" s="20" t="s"/>
      <c r="C139" s="152" t="s"/>
      <c r="D139" s="152" t="s"/>
      <c r="E139" s="31" t="s"/>
      <c r="F139" s="265" t="s"/>
      <c r="G139" s="266" t="s"/>
      <c r="H139" s="266" t="s"/>
      <c r="I139" s="266" t="s"/>
      <c r="J139" s="267" t="s"/>
      <c r="K139" s="156" t="s"/>
      <c r="M139" s="157" t="s"/>
      <c r="N139" s="31" t="s"/>
      <c r="O139" s="266" t="s"/>
      <c r="P139" s="31" t="s"/>
    </row>
    <row r="140" spans="1:16">
      <c r="A140" s="20" t="s"/>
      <c r="B140" s="20" t="s"/>
      <c r="C140" s="152" t="s"/>
      <c r="D140" s="152" t="s"/>
      <c r="E140" s="31" t="s"/>
      <c r="F140" s="265" t="s"/>
      <c r="G140" s="266" t="s"/>
      <c r="H140" s="266" t="s"/>
      <c r="I140" s="266" t="s"/>
      <c r="J140" s="267" t="s"/>
      <c r="K140" s="156" t="s"/>
      <c r="M140" s="157" t="s"/>
      <c r="N140" s="31" t="s"/>
      <c r="O140" s="266" t="s"/>
      <c r="P140" s="31" t="s"/>
    </row>
    <row r="141" spans="1:16">
      <c r="A141" s="20" t="s"/>
      <c r="B141" s="20" t="s"/>
      <c r="C141" s="152" t="s"/>
      <c r="D141" s="152" t="s"/>
      <c r="E141" s="31" t="s"/>
      <c r="F141" s="265" t="s"/>
      <c r="G141" s="266" t="s"/>
      <c r="H141" s="266" t="s"/>
      <c r="I141" s="266" t="s"/>
      <c r="J141" s="267" t="s"/>
      <c r="K141" s="156" t="s"/>
      <c r="M141" s="157" t="s"/>
      <c r="N141" s="31" t="s"/>
      <c r="O141" s="266" t="s"/>
      <c r="P141" s="31" t="s"/>
    </row>
    <row r="142" spans="1:16">
      <c r="A142" s="20" t="s"/>
      <c r="B142" s="20" t="s"/>
      <c r="C142" s="152" t="s"/>
      <c r="D142" s="152" t="s"/>
      <c r="E142" s="31" t="s"/>
      <c r="F142" s="265" t="s"/>
      <c r="G142" s="266" t="s"/>
      <c r="H142" s="266" t="s"/>
      <c r="I142" s="266" t="s"/>
      <c r="J142" s="267" t="s"/>
      <c r="K142" s="156" t="s"/>
      <c r="M142" s="157" t="s"/>
      <c r="N142" s="31" t="s"/>
      <c r="O142" s="266" t="s"/>
      <c r="P142" s="31" t="s"/>
    </row>
    <row r="143" spans="1:16">
      <c r="A143" s="20" t="s"/>
      <c r="B143" s="20" t="s"/>
      <c r="C143" s="152" t="s"/>
      <c r="D143" s="152" t="s"/>
      <c r="E143" s="31" t="s"/>
      <c r="F143" s="265" t="s"/>
      <c r="G143" s="266" t="s"/>
      <c r="H143" s="266" t="s"/>
      <c r="I143" s="266" t="s"/>
      <c r="J143" s="267" t="s"/>
      <c r="K143" s="156" t="s"/>
      <c r="M143" s="157" t="s"/>
      <c r="N143" s="31" t="s"/>
      <c r="O143" s="266" t="s"/>
      <c r="P143" s="31" t="s"/>
    </row>
    <row r="144" spans="1:16">
      <c r="A144" s="20" t="s"/>
      <c r="B144" s="20" t="s"/>
      <c r="C144" s="152" t="s"/>
      <c r="D144" s="152" t="s"/>
      <c r="E144" s="31" t="s"/>
      <c r="F144" s="265" t="s"/>
      <c r="G144" s="266" t="s"/>
      <c r="H144" s="266" t="s"/>
      <c r="I144" s="266" t="s"/>
      <c r="J144" s="267" t="s"/>
      <c r="K144" s="156" t="s"/>
      <c r="M144" s="157" t="s"/>
      <c r="N144" s="31" t="s"/>
      <c r="O144" s="266" t="s"/>
      <c r="P144" s="31" t="s"/>
    </row>
    <row r="145" spans="1:16">
      <c r="A145" s="20" t="s"/>
      <c r="B145" s="20" t="s"/>
      <c r="C145" s="152" t="s"/>
      <c r="D145" s="152" t="s"/>
      <c r="E145" s="31" t="s"/>
      <c r="F145" s="265" t="s"/>
      <c r="G145" s="266" t="s"/>
      <c r="H145" s="266" t="s"/>
      <c r="I145" s="266" t="s"/>
      <c r="J145" s="267" t="s"/>
      <c r="K145" s="156" t="s"/>
      <c r="M145" s="157" t="s"/>
      <c r="N145" s="31" t="s"/>
      <c r="O145" s="266" t="s"/>
      <c r="P145" s="31" t="s"/>
    </row>
    <row r="146" spans="1:16">
      <c r="A146" s="20" t="s"/>
      <c r="B146" s="20" t="s"/>
      <c r="C146" s="152" t="s"/>
      <c r="D146" s="152" t="s"/>
      <c r="E146" s="31" t="s"/>
      <c r="F146" s="265" t="s"/>
      <c r="G146" s="266" t="s"/>
      <c r="H146" s="266" t="s"/>
      <c r="I146" s="266" t="s"/>
      <c r="J146" s="267" t="s"/>
      <c r="K146" s="156" t="s"/>
      <c r="M146" s="157" t="s"/>
      <c r="N146" s="31" t="s"/>
      <c r="O146" s="266" t="s"/>
      <c r="P146" s="31" t="s"/>
    </row>
    <row r="147" spans="1:16">
      <c r="A147" s="20" t="s"/>
      <c r="B147" s="20" t="s"/>
      <c r="C147" s="152" t="s"/>
      <c r="D147" s="152" t="s"/>
      <c r="E147" s="31" t="s"/>
      <c r="F147" s="265" t="s"/>
      <c r="G147" s="266" t="s"/>
      <c r="H147" s="266" t="s"/>
      <c r="I147" s="266" t="s"/>
      <c r="J147" s="267" t="s"/>
      <c r="K147" s="156" t="s"/>
      <c r="M147" s="157" t="s"/>
      <c r="N147" s="31" t="s"/>
      <c r="O147" s="266" t="s"/>
      <c r="P147" s="31" t="s"/>
    </row>
    <row r="148" spans="1:16">
      <c r="A148" s="20" t="s"/>
      <c r="B148" s="20" t="s"/>
      <c r="C148" s="152" t="s"/>
      <c r="D148" s="152" t="s"/>
      <c r="E148" s="31" t="s"/>
      <c r="F148" s="265" t="s"/>
      <c r="G148" s="266" t="s"/>
      <c r="H148" s="266" t="s"/>
      <c r="I148" s="266" t="s"/>
      <c r="J148" s="267" t="s"/>
      <c r="K148" s="156" t="s"/>
      <c r="M148" s="157" t="s"/>
      <c r="N148" s="31" t="s"/>
      <c r="O148" s="266" t="s"/>
      <c r="P148" s="31" t="s"/>
    </row>
    <row r="149" spans="1:16">
      <c r="A149" s="20" t="s"/>
      <c r="B149" s="20" t="s"/>
      <c r="C149" s="152" t="s"/>
      <c r="D149" s="152" t="s"/>
      <c r="E149" s="31" t="s"/>
      <c r="F149" s="265" t="s"/>
      <c r="G149" s="266" t="s"/>
      <c r="H149" s="266" t="s"/>
      <c r="I149" s="266" t="s"/>
      <c r="J149" s="267" t="s"/>
      <c r="K149" s="156" t="s"/>
      <c r="M149" s="157" t="s"/>
      <c r="N149" s="31" t="s"/>
      <c r="O149" s="266" t="s"/>
      <c r="P149" s="31" t="s"/>
    </row>
    <row r="150" spans="1:16">
      <c r="A150" s="20" t="s"/>
      <c r="B150" s="20" t="s"/>
      <c r="C150" s="152" t="s"/>
      <c r="D150" s="152" t="s"/>
      <c r="E150" s="31" t="s"/>
      <c r="F150" s="265" t="s"/>
      <c r="G150" s="266" t="s"/>
      <c r="H150" s="266" t="s"/>
      <c r="I150" s="266" t="s"/>
      <c r="J150" s="267" t="s"/>
      <c r="K150" s="156" t="s"/>
      <c r="M150" s="157" t="s"/>
      <c r="N150" s="31" t="s"/>
      <c r="O150" s="266" t="s"/>
      <c r="P150" s="31" t="s"/>
    </row>
    <row r="151" spans="1:16">
      <c r="A151" s="20" t="s"/>
      <c r="B151" s="20" t="s"/>
      <c r="C151" s="152" t="s"/>
      <c r="D151" s="152" t="s"/>
      <c r="E151" s="31" t="s"/>
      <c r="F151" s="265" t="s"/>
      <c r="G151" s="266" t="s"/>
      <c r="H151" s="266" t="s"/>
      <c r="I151" s="266" t="s"/>
      <c r="J151" s="267" t="s"/>
      <c r="K151" s="156" t="s"/>
      <c r="M151" s="157" t="s"/>
      <c r="N151" s="31" t="s"/>
      <c r="O151" s="266" t="s"/>
      <c r="P151" s="31" t="s"/>
    </row>
    <row r="152" spans="1:16">
      <c r="A152" s="20" t="s"/>
      <c r="B152" s="20" t="s"/>
      <c r="C152" s="152" t="s"/>
      <c r="D152" s="152" t="s"/>
      <c r="E152" s="31" t="s"/>
      <c r="F152" s="265" t="s"/>
      <c r="G152" s="266" t="s"/>
      <c r="H152" s="266" t="s"/>
      <c r="I152" s="266" t="s"/>
      <c r="J152" s="267" t="s"/>
      <c r="K152" s="156" t="s"/>
      <c r="M152" s="157" t="s"/>
      <c r="N152" s="31" t="s"/>
      <c r="O152" s="266" t="s"/>
      <c r="P152" s="31" t="s"/>
    </row>
    <row r="153" spans="1:16">
      <c r="A153" s="20" t="s"/>
      <c r="B153" s="20" t="s"/>
      <c r="C153" s="152" t="s"/>
      <c r="D153" s="152" t="s"/>
      <c r="E153" s="31" t="s"/>
      <c r="F153" s="265" t="s"/>
      <c r="G153" s="266" t="s"/>
      <c r="H153" s="266" t="s"/>
      <c r="I153" s="266" t="s"/>
      <c r="J153" s="267" t="s"/>
      <c r="K153" s="156" t="s"/>
      <c r="M153" s="157" t="s"/>
      <c r="N153" s="31" t="s"/>
      <c r="O153" s="266" t="s"/>
      <c r="P153" s="31" t="s"/>
    </row>
    <row r="154" spans="1:16">
      <c r="A154" s="20" t="s"/>
      <c r="B154" s="20" t="s"/>
      <c r="C154" s="152" t="s"/>
      <c r="D154" s="152" t="s"/>
      <c r="E154" s="31" t="s"/>
      <c r="F154" s="265" t="s"/>
      <c r="G154" s="266" t="s"/>
      <c r="H154" s="266" t="s"/>
      <c r="I154" s="266" t="s"/>
      <c r="J154" s="267" t="s"/>
      <c r="K154" s="156" t="s"/>
      <c r="M154" s="157" t="s"/>
      <c r="N154" s="31" t="s"/>
      <c r="O154" s="266" t="s"/>
      <c r="P154" s="31" t="s"/>
    </row>
    <row r="155" spans="1:16">
      <c r="A155" s="20" t="s"/>
      <c r="B155" s="20" t="s"/>
      <c r="C155" s="152" t="s"/>
      <c r="D155" s="152" t="s"/>
      <c r="E155" s="31" t="s"/>
      <c r="F155" s="265" t="s"/>
      <c r="G155" s="266" t="s"/>
      <c r="H155" s="266" t="s"/>
      <c r="I155" s="266" t="s"/>
      <c r="J155" s="267" t="s"/>
      <c r="K155" s="156" t="s"/>
      <c r="M155" s="157" t="s"/>
      <c r="N155" s="31" t="s"/>
      <c r="O155" s="266" t="s"/>
      <c r="P155" s="31" t="s"/>
    </row>
    <row r="156" spans="1:16">
      <c r="A156" s="20" t="s"/>
      <c r="B156" s="20" t="s"/>
      <c r="C156" s="152" t="s"/>
      <c r="D156" s="152" t="s"/>
      <c r="E156" s="31" t="s"/>
      <c r="F156" s="265" t="s"/>
      <c r="G156" s="266" t="s"/>
      <c r="H156" s="266" t="s"/>
      <c r="I156" s="266" t="s"/>
      <c r="J156" s="267" t="s"/>
      <c r="K156" s="156" t="s"/>
      <c r="M156" s="157" t="s"/>
      <c r="N156" s="31" t="s"/>
      <c r="O156" s="266" t="s"/>
      <c r="P156" s="31" t="s"/>
    </row>
    <row r="157" spans="1:16">
      <c r="A157" s="20" t="s"/>
      <c r="B157" s="20" t="s"/>
      <c r="C157" s="152" t="s"/>
      <c r="D157" s="152" t="s"/>
      <c r="E157" s="31" t="s"/>
      <c r="F157" s="265" t="s"/>
      <c r="G157" s="266" t="s"/>
      <c r="H157" s="266" t="s"/>
      <c r="I157" s="266" t="s"/>
      <c r="J157" s="267" t="s"/>
      <c r="K157" s="156" t="s"/>
      <c r="M157" s="157" t="s"/>
      <c r="N157" s="31" t="s"/>
      <c r="O157" s="266" t="s"/>
      <c r="P157" s="31" t="s"/>
    </row>
    <row r="158" spans="1:16">
      <c r="A158" s="20" t="s"/>
      <c r="B158" s="20" t="s"/>
      <c r="C158" s="152" t="s"/>
      <c r="D158" s="152" t="s"/>
      <c r="E158" s="31" t="s"/>
      <c r="F158" s="265" t="s"/>
      <c r="G158" s="266" t="s"/>
      <c r="H158" s="266" t="s"/>
      <c r="I158" s="266" t="s"/>
      <c r="J158" s="267" t="s"/>
      <c r="K158" s="156" t="s"/>
      <c r="M158" s="157" t="s"/>
      <c r="N158" s="31" t="s"/>
      <c r="O158" s="266" t="s"/>
      <c r="P158" s="31" t="s"/>
    </row>
    <row r="159" spans="1:16">
      <c r="A159" s="20" t="s"/>
      <c r="B159" s="20" t="s"/>
      <c r="C159" s="152" t="s"/>
      <c r="D159" s="152" t="s"/>
      <c r="E159" s="31" t="s"/>
      <c r="F159" s="265" t="s"/>
      <c r="G159" s="266" t="s"/>
      <c r="H159" s="266" t="s"/>
      <c r="I159" s="266" t="s"/>
      <c r="J159" s="267" t="s"/>
      <c r="K159" s="156" t="s"/>
      <c r="M159" s="157" t="s"/>
      <c r="N159" s="31" t="s"/>
      <c r="O159" s="266" t="s"/>
      <c r="P159" s="31" t="s"/>
    </row>
    <row r="160" spans="1:16">
      <c r="A160" s="20" t="s"/>
      <c r="B160" s="20" t="s"/>
      <c r="C160" s="152" t="s"/>
      <c r="D160" s="152" t="s"/>
      <c r="E160" s="31" t="s"/>
      <c r="F160" s="265" t="s"/>
      <c r="G160" s="266" t="s"/>
      <c r="H160" s="266" t="s"/>
      <c r="I160" s="266" t="s"/>
      <c r="J160" s="267" t="s"/>
      <c r="K160" s="156" t="s"/>
      <c r="M160" s="157" t="s"/>
      <c r="N160" s="31" t="s"/>
      <c r="O160" s="266" t="s"/>
      <c r="P160" s="31" t="s"/>
    </row>
    <row r="161" spans="1:16">
      <c r="A161" s="20" t="s"/>
      <c r="B161" s="20" t="s"/>
      <c r="C161" s="152" t="s"/>
      <c r="D161" s="152" t="s"/>
      <c r="E161" s="31" t="s"/>
      <c r="F161" s="265" t="s"/>
      <c r="G161" s="266" t="s"/>
      <c r="H161" s="266" t="s"/>
      <c r="I161" s="266" t="s"/>
      <c r="J161" s="267" t="s"/>
      <c r="K161" s="156" t="s"/>
      <c r="M161" s="157" t="s"/>
      <c r="N161" s="31" t="s"/>
      <c r="O161" s="266" t="s"/>
      <c r="P161" s="31" t="s"/>
    </row>
    <row r="162" spans="1:16">
      <c r="A162" s="20" t="s"/>
      <c r="B162" s="20" t="s"/>
      <c r="C162" s="152" t="s"/>
      <c r="D162" s="152" t="s"/>
      <c r="E162" s="31" t="s"/>
      <c r="F162" s="265" t="s"/>
      <c r="G162" s="266" t="s"/>
      <c r="H162" s="266" t="s"/>
      <c r="I162" s="266" t="s"/>
      <c r="J162" s="267" t="s"/>
      <c r="K162" s="156" t="s"/>
      <c r="M162" s="157" t="s"/>
      <c r="N162" s="31" t="s"/>
      <c r="O162" s="266" t="s"/>
      <c r="P162" s="31" t="s"/>
    </row>
    <row r="163" spans="1:16">
      <c r="A163" s="20" t="s"/>
      <c r="B163" s="20" t="s"/>
      <c r="C163" s="152" t="s"/>
      <c r="D163" s="152" t="s"/>
      <c r="E163" s="31" t="s"/>
      <c r="F163" s="265" t="s"/>
      <c r="G163" s="266" t="s"/>
      <c r="H163" s="266" t="s"/>
      <c r="I163" s="266" t="s"/>
      <c r="J163" s="267" t="s"/>
      <c r="K163" s="156" t="s"/>
      <c r="M163" s="157" t="s"/>
      <c r="N163" s="31" t="s"/>
      <c r="O163" s="266" t="s"/>
      <c r="P163" s="31" t="s"/>
    </row>
    <row r="164" spans="1:16">
      <c r="A164" s="20" t="s"/>
      <c r="B164" s="20" t="s"/>
      <c r="C164" s="152" t="s"/>
      <c r="D164" s="152" t="s"/>
      <c r="E164" s="31" t="s"/>
      <c r="F164" s="265" t="s"/>
      <c r="G164" s="266" t="s"/>
      <c r="H164" s="266" t="s"/>
      <c r="I164" s="266" t="s"/>
      <c r="J164" s="267" t="s"/>
      <c r="K164" s="156" t="s"/>
      <c r="M164" s="157" t="s"/>
      <c r="N164" s="31" t="s"/>
      <c r="O164" s="266" t="s"/>
      <c r="P164" s="31" t="s"/>
    </row>
    <row r="165" spans="1:16">
      <c r="A165" s="20" t="s"/>
      <c r="B165" s="20" t="s"/>
      <c r="C165" s="152" t="s"/>
      <c r="D165" s="152" t="s"/>
      <c r="E165" s="31" t="s"/>
      <c r="F165" s="265" t="s"/>
      <c r="G165" s="266" t="s"/>
      <c r="H165" s="266" t="s"/>
      <c r="I165" s="266" t="s"/>
      <c r="J165" s="267" t="s"/>
      <c r="K165" s="156" t="s"/>
      <c r="M165" s="157" t="s"/>
      <c r="N165" s="31" t="s"/>
      <c r="O165" s="266" t="s"/>
      <c r="P165" s="31" t="s"/>
    </row>
    <row r="166" spans="1:16">
      <c r="A166" s="20" t="s"/>
      <c r="B166" s="20" t="s"/>
      <c r="C166" s="152" t="s"/>
      <c r="D166" s="152" t="s"/>
      <c r="E166" s="31" t="s"/>
      <c r="F166" s="265" t="s"/>
      <c r="G166" s="266" t="s"/>
      <c r="H166" s="266" t="s"/>
      <c r="I166" s="266" t="s"/>
      <c r="J166" s="267" t="s"/>
      <c r="K166" s="156" t="s"/>
      <c r="M166" s="157" t="s"/>
      <c r="N166" s="31" t="s"/>
      <c r="O166" s="266" t="s"/>
      <c r="P166" s="31" t="s"/>
    </row>
    <row r="167" spans="1:16">
      <c r="A167" s="20" t="s"/>
      <c r="B167" s="20" t="s"/>
      <c r="C167" s="152" t="s"/>
      <c r="D167" s="152" t="s"/>
      <c r="E167" s="31" t="s"/>
      <c r="F167" s="265" t="s"/>
      <c r="G167" s="266" t="s"/>
      <c r="H167" s="266" t="s"/>
      <c r="I167" s="266" t="s"/>
      <c r="J167" s="267" t="s"/>
      <c r="K167" s="156" t="s"/>
      <c r="M167" s="157" t="s"/>
      <c r="N167" s="31" t="s"/>
      <c r="O167" s="266" t="s"/>
      <c r="P167" s="31" t="s"/>
    </row>
    <row r="168" spans="1:16">
      <c r="A168" s="20" t="s"/>
      <c r="B168" s="20" t="s"/>
      <c r="C168" s="152" t="s"/>
      <c r="D168" s="152" t="s"/>
      <c r="E168" s="31" t="s"/>
      <c r="F168" s="265" t="s"/>
      <c r="G168" s="266" t="s"/>
      <c r="H168" s="266" t="s"/>
      <c r="I168" s="266" t="s"/>
      <c r="J168" s="267" t="s"/>
      <c r="K168" s="156" t="s"/>
      <c r="M168" s="157" t="s"/>
      <c r="N168" s="31" t="s"/>
      <c r="O168" s="266" t="s"/>
      <c r="P168" s="31" t="s"/>
    </row>
    <row r="169" spans="1:16">
      <c r="A169" s="20" t="s"/>
      <c r="B169" s="20" t="s"/>
      <c r="C169" s="152" t="s"/>
      <c r="D169" s="152" t="s"/>
      <c r="E169" s="31" t="s"/>
      <c r="F169" s="265" t="s"/>
      <c r="G169" s="266" t="s"/>
      <c r="H169" s="266" t="s"/>
      <c r="I169" s="266" t="s"/>
      <c r="J169" s="267" t="s"/>
      <c r="K169" s="156" t="s"/>
      <c r="M169" s="157" t="s"/>
      <c r="N169" s="31" t="s"/>
      <c r="O169" s="266" t="s"/>
      <c r="P169" s="31" t="s"/>
    </row>
    <row r="170" spans="1:16">
      <c r="A170" s="20" t="s"/>
      <c r="B170" s="20" t="s"/>
      <c r="C170" s="152" t="s"/>
      <c r="D170" s="152" t="s"/>
      <c r="E170" s="31" t="s"/>
      <c r="F170" s="265" t="s"/>
      <c r="G170" s="266" t="s"/>
      <c r="H170" s="266" t="s"/>
      <c r="I170" s="266" t="s"/>
      <c r="J170" s="267" t="s"/>
      <c r="K170" s="156" t="s"/>
      <c r="M170" s="157" t="s"/>
      <c r="N170" s="31" t="s"/>
      <c r="O170" s="266" t="s"/>
      <c r="P170" s="31" t="s"/>
    </row>
    <row r="171" spans="1:16">
      <c r="A171" s="20" t="s"/>
      <c r="B171" s="20" t="s"/>
      <c r="C171" s="152" t="s"/>
      <c r="D171" s="152" t="s"/>
      <c r="E171" s="31" t="s"/>
      <c r="F171" s="265" t="s"/>
      <c r="G171" s="266" t="s"/>
      <c r="H171" s="266" t="s"/>
      <c r="I171" s="266" t="s"/>
      <c r="J171" s="267" t="s"/>
      <c r="K171" s="156" t="s"/>
      <c r="M171" s="157" t="s"/>
      <c r="N171" s="31" t="s"/>
      <c r="O171" s="266" t="s"/>
      <c r="P171" s="31" t="s"/>
    </row>
    <row r="172" spans="1:16">
      <c r="A172" s="20" t="s"/>
      <c r="B172" s="20" t="s"/>
      <c r="C172" s="152" t="s"/>
      <c r="D172" s="152" t="s"/>
      <c r="E172" s="31" t="s"/>
      <c r="F172" s="265" t="s"/>
      <c r="G172" s="266" t="s"/>
      <c r="H172" s="266" t="s"/>
      <c r="I172" s="266" t="s"/>
      <c r="J172" s="267" t="s"/>
      <c r="K172" s="156" t="s"/>
      <c r="M172" s="157" t="s"/>
      <c r="N172" s="31" t="s"/>
      <c r="O172" s="266" t="s"/>
      <c r="P172" s="31" t="s"/>
    </row>
    <row r="173" spans="1:16">
      <c r="A173" s="20" t="s"/>
      <c r="B173" s="20" t="s"/>
      <c r="C173" s="152" t="s"/>
      <c r="D173" s="152" t="s"/>
      <c r="E173" s="31" t="s"/>
      <c r="F173" s="265" t="s"/>
      <c r="G173" s="266" t="s"/>
      <c r="H173" s="266" t="s"/>
      <c r="I173" s="266" t="s"/>
      <c r="J173" s="267" t="s"/>
      <c r="K173" s="156" t="s"/>
      <c r="M173" s="157" t="s"/>
      <c r="N173" s="31" t="s"/>
      <c r="O173" s="266" t="s"/>
      <c r="P173" s="31" t="s"/>
    </row>
    <row r="174" spans="1:16">
      <c r="A174" s="20" t="s"/>
      <c r="B174" s="20" t="s"/>
      <c r="C174" s="152" t="s"/>
      <c r="D174" s="152" t="s"/>
      <c r="E174" s="31" t="s"/>
      <c r="F174" s="265" t="s"/>
      <c r="G174" s="266" t="s"/>
      <c r="H174" s="266" t="s"/>
      <c r="I174" s="266" t="s"/>
      <c r="J174" s="267" t="s"/>
      <c r="K174" s="156" t="s"/>
      <c r="M174" s="157" t="s"/>
      <c r="N174" s="31" t="s"/>
      <c r="O174" s="266" t="s"/>
      <c r="P174" s="31" t="s"/>
    </row>
    <row r="175" spans="1:16">
      <c r="A175" s="20" t="s"/>
      <c r="B175" s="20" t="s"/>
      <c r="C175" s="152" t="s"/>
      <c r="D175" s="152" t="s"/>
      <c r="E175" s="31" t="s"/>
      <c r="F175" s="265" t="s"/>
      <c r="G175" s="266" t="s"/>
      <c r="H175" s="266" t="s"/>
      <c r="I175" s="266" t="s"/>
      <c r="J175" s="267" t="s"/>
      <c r="K175" s="156" t="s"/>
      <c r="M175" s="157" t="s"/>
      <c r="N175" s="31" t="s"/>
      <c r="O175" s="266" t="s"/>
      <c r="P175" s="31" t="s"/>
    </row>
    <row r="176" spans="1:16">
      <c r="A176" s="20" t="s"/>
      <c r="B176" s="20" t="s"/>
      <c r="C176" s="152" t="s"/>
      <c r="D176" s="152" t="s"/>
      <c r="E176" s="31" t="s"/>
      <c r="F176" s="265" t="s"/>
      <c r="G176" s="266" t="s"/>
      <c r="H176" s="266" t="s"/>
      <c r="I176" s="266" t="s"/>
      <c r="J176" s="267" t="s"/>
      <c r="K176" s="156" t="s"/>
      <c r="M176" s="157" t="s"/>
      <c r="N176" s="31" t="s"/>
      <c r="O176" s="266" t="s"/>
      <c r="P176" s="31" t="s"/>
    </row>
    <row r="177" spans="1:16">
      <c r="A177" s="20" t="s"/>
      <c r="B177" s="20" t="s"/>
      <c r="C177" s="152" t="s"/>
      <c r="D177" s="152" t="s"/>
      <c r="E177" s="31" t="s"/>
      <c r="F177" s="265" t="s"/>
      <c r="G177" s="266" t="s"/>
      <c r="H177" s="266" t="s"/>
      <c r="I177" s="266" t="s"/>
      <c r="J177" s="267" t="s"/>
      <c r="K177" s="156" t="s"/>
      <c r="M177" s="157" t="s"/>
      <c r="N177" s="31" t="s"/>
      <c r="O177" s="266" t="s"/>
      <c r="P177" s="31" t="s"/>
    </row>
    <row r="178" spans="1:16">
      <c r="A178" s="20" t="s"/>
      <c r="B178" s="20" t="s"/>
      <c r="C178" s="152" t="s"/>
      <c r="D178" s="152" t="s"/>
      <c r="E178" s="31" t="s"/>
      <c r="F178" s="265" t="s"/>
      <c r="G178" s="266" t="s"/>
      <c r="H178" s="266" t="s"/>
      <c r="I178" s="266" t="s"/>
      <c r="J178" s="267" t="s"/>
      <c r="K178" s="156" t="s"/>
      <c r="M178" s="157" t="s"/>
      <c r="N178" s="31" t="s"/>
      <c r="O178" s="266" t="s"/>
      <c r="P178" s="31" t="s"/>
    </row>
    <row r="179" spans="1:16">
      <c r="A179" s="20" t="s"/>
      <c r="B179" s="20" t="s"/>
      <c r="C179" s="152" t="s"/>
      <c r="D179" s="152" t="s"/>
      <c r="E179" s="31" t="s"/>
      <c r="F179" s="265" t="s"/>
      <c r="G179" s="266" t="s"/>
      <c r="H179" s="266" t="s"/>
      <c r="I179" s="266" t="s"/>
      <c r="J179" s="267" t="s"/>
      <c r="K179" s="156" t="s"/>
      <c r="M179" s="157" t="s"/>
      <c r="N179" s="31" t="s"/>
      <c r="O179" s="266" t="s"/>
      <c r="P179" s="31" t="s"/>
    </row>
    <row r="180" spans="1:16">
      <c r="A180" s="20" t="s"/>
      <c r="B180" s="20" t="s"/>
      <c r="C180" s="152" t="s"/>
      <c r="D180" s="152" t="s"/>
      <c r="E180" s="31" t="s"/>
      <c r="F180" s="265" t="s"/>
      <c r="G180" s="266" t="s"/>
      <c r="H180" s="266" t="s"/>
      <c r="I180" s="266" t="s"/>
      <c r="J180" s="267" t="s"/>
      <c r="K180" s="156" t="s"/>
      <c r="M180" s="157" t="s"/>
      <c r="N180" s="31" t="s"/>
      <c r="O180" s="266" t="s"/>
      <c r="P180" s="31" t="s"/>
    </row>
    <row r="181" spans="1:16">
      <c r="A181" s="20" t="s"/>
      <c r="B181" s="20" t="s"/>
      <c r="C181" s="152" t="s"/>
      <c r="D181" s="152" t="s"/>
      <c r="E181" s="31" t="s"/>
      <c r="F181" s="265" t="s"/>
      <c r="G181" s="266" t="s"/>
      <c r="H181" s="266" t="s"/>
      <c r="I181" s="266" t="s"/>
      <c r="J181" s="267" t="s"/>
      <c r="K181" s="156" t="s"/>
      <c r="M181" s="157" t="s"/>
      <c r="N181" s="31" t="s"/>
      <c r="O181" s="266" t="s"/>
      <c r="P181" s="31" t="s"/>
    </row>
    <row r="182" spans="1:16">
      <c r="A182" s="20" t="s"/>
      <c r="B182" s="20" t="s"/>
      <c r="C182" s="152" t="s"/>
      <c r="D182" s="152" t="s"/>
      <c r="E182" s="31" t="s"/>
      <c r="F182" s="265" t="s"/>
      <c r="G182" s="266" t="s"/>
      <c r="H182" s="266" t="s"/>
      <c r="I182" s="266" t="s"/>
      <c r="J182" s="267" t="s"/>
      <c r="K182" s="156" t="s"/>
      <c r="M182" s="157" t="s"/>
      <c r="N182" s="31" t="s"/>
      <c r="O182" s="266" t="s"/>
      <c r="P182" s="31" t="s"/>
    </row>
    <row r="183" spans="1:16">
      <c r="A183" s="20" t="s"/>
      <c r="B183" s="20" t="s"/>
      <c r="C183" s="152" t="s"/>
      <c r="D183" s="152" t="s"/>
      <c r="E183" s="31" t="s"/>
      <c r="F183" s="265" t="s"/>
      <c r="G183" s="266" t="s"/>
      <c r="H183" s="266" t="s"/>
      <c r="I183" s="266" t="s"/>
      <c r="J183" s="267" t="s"/>
      <c r="K183" s="156" t="s"/>
      <c r="M183" s="157" t="s"/>
      <c r="N183" s="31" t="s"/>
      <c r="O183" s="266" t="s"/>
      <c r="P183" s="31" t="s"/>
    </row>
    <row r="184" spans="1:16">
      <c r="A184" s="20" t="s"/>
      <c r="B184" s="20" t="s"/>
      <c r="C184" s="152" t="s"/>
      <c r="D184" s="152" t="s"/>
      <c r="E184" s="31" t="s"/>
      <c r="F184" s="265" t="s"/>
      <c r="G184" s="266" t="s"/>
      <c r="H184" s="266" t="s"/>
      <c r="I184" s="266" t="s"/>
      <c r="J184" s="267" t="s"/>
      <c r="K184" s="156" t="s"/>
      <c r="M184" s="157" t="s"/>
      <c r="N184" s="31" t="s"/>
      <c r="O184" s="266" t="s"/>
      <c r="P184" s="31" t="s"/>
    </row>
    <row r="185" spans="1:16">
      <c r="A185" s="20" t="s"/>
      <c r="B185" s="20" t="s"/>
      <c r="C185" s="152" t="s"/>
      <c r="D185" s="152" t="s"/>
      <c r="E185" s="31" t="s"/>
      <c r="F185" s="265" t="s"/>
      <c r="G185" s="266" t="s"/>
      <c r="H185" s="266" t="s"/>
      <c r="I185" s="266" t="s"/>
      <c r="J185" s="267" t="s"/>
      <c r="K185" s="156" t="s"/>
      <c r="M185" s="157" t="s"/>
      <c r="N185" s="31" t="s"/>
      <c r="O185" s="266" t="s"/>
      <c r="P185" s="31" t="s"/>
    </row>
    <row r="186" spans="1:16">
      <c r="A186" s="20" t="s"/>
      <c r="B186" s="20" t="s"/>
      <c r="C186" s="152" t="s"/>
      <c r="D186" s="152" t="s"/>
      <c r="E186" s="31" t="s"/>
      <c r="F186" s="265" t="s"/>
      <c r="G186" s="266" t="s"/>
      <c r="H186" s="266" t="s"/>
      <c r="I186" s="266" t="s"/>
      <c r="J186" s="267" t="s"/>
      <c r="K186" s="156" t="s"/>
      <c r="M186" s="157" t="s"/>
      <c r="N186" s="31" t="s"/>
      <c r="O186" s="266" t="s"/>
      <c r="P186" s="31" t="s"/>
    </row>
    <row r="187" spans="1:16">
      <c r="A187" s="20" t="s"/>
      <c r="B187" s="20" t="s"/>
      <c r="C187" s="152" t="s"/>
      <c r="D187" s="152" t="s"/>
      <c r="E187" s="31" t="s"/>
      <c r="F187" s="265" t="s"/>
      <c r="G187" s="266" t="s"/>
      <c r="H187" s="266" t="s"/>
      <c r="I187" s="266" t="s"/>
      <c r="J187" s="267" t="s"/>
      <c r="K187" s="156" t="s"/>
      <c r="M187" s="157" t="s"/>
      <c r="N187" s="31" t="s"/>
      <c r="O187" s="266" t="s"/>
      <c r="P187" s="31" t="s"/>
    </row>
    <row r="188" spans="1:16">
      <c r="A188" s="20" t="s"/>
      <c r="B188" s="20" t="s"/>
      <c r="C188" s="152" t="s"/>
      <c r="D188" s="152" t="s"/>
      <c r="E188" s="31" t="s"/>
      <c r="F188" s="265" t="s"/>
      <c r="G188" s="266" t="s"/>
      <c r="H188" s="266" t="s"/>
      <c r="I188" s="266" t="s"/>
      <c r="J188" s="267" t="s"/>
      <c r="K188" s="156" t="s"/>
      <c r="M188" s="157" t="s"/>
      <c r="N188" s="31" t="s"/>
      <c r="O188" s="266" t="s"/>
      <c r="P188" s="31" t="s"/>
    </row>
    <row r="189" spans="1:16">
      <c r="A189" s="20" t="s"/>
      <c r="B189" s="20" t="s"/>
      <c r="C189" s="152" t="s"/>
      <c r="D189" s="152" t="s"/>
      <c r="E189" s="31" t="s"/>
      <c r="F189" s="265" t="s"/>
      <c r="G189" s="266" t="s"/>
      <c r="H189" s="266" t="s"/>
      <c r="I189" s="266" t="s"/>
      <c r="J189" s="267" t="s"/>
      <c r="K189" s="156" t="s"/>
      <c r="M189" s="157" t="s"/>
      <c r="N189" s="31" t="s"/>
      <c r="O189" s="266" t="s"/>
      <c r="P189" s="31" t="s"/>
    </row>
    <row r="190" spans="1:16">
      <c r="A190" s="20" t="s"/>
      <c r="B190" s="20" t="s"/>
      <c r="C190" s="152" t="s"/>
      <c r="D190" s="152" t="s"/>
      <c r="E190" s="31" t="s"/>
      <c r="F190" s="265" t="s"/>
      <c r="G190" s="266" t="s"/>
      <c r="H190" s="266" t="s"/>
      <c r="I190" s="266" t="s"/>
      <c r="J190" s="267" t="s"/>
      <c r="K190" s="156" t="s"/>
      <c r="M190" s="157" t="s"/>
      <c r="N190" s="31" t="s"/>
      <c r="O190" s="266" t="s"/>
      <c r="P190" s="31" t="s"/>
    </row>
    <row r="191" spans="1:16">
      <c r="A191" s="20" t="s"/>
      <c r="B191" s="20" t="s"/>
      <c r="C191" s="152" t="s"/>
      <c r="D191" s="152" t="s"/>
      <c r="E191" s="31" t="s"/>
      <c r="F191" s="265" t="s"/>
      <c r="G191" s="266" t="s"/>
      <c r="H191" s="266" t="s"/>
      <c r="I191" s="266" t="s"/>
      <c r="J191" s="267" t="s"/>
      <c r="K191" s="156" t="s"/>
      <c r="M191" s="157" t="s"/>
      <c r="N191" s="31" t="s"/>
      <c r="O191" s="266" t="s"/>
      <c r="P191" s="31" t="s"/>
    </row>
    <row r="192" spans="1:16">
      <c r="A192" s="20" t="s"/>
      <c r="B192" s="20" t="s"/>
      <c r="C192" s="152" t="s"/>
      <c r="D192" s="152" t="s"/>
      <c r="E192" s="31" t="s"/>
      <c r="F192" s="265" t="s"/>
      <c r="G192" s="266" t="s"/>
      <c r="H192" s="266" t="s"/>
      <c r="I192" s="266" t="s"/>
      <c r="J192" s="267" t="s"/>
      <c r="K192" s="156" t="s"/>
      <c r="M192" s="157" t="s"/>
      <c r="N192" s="31" t="s"/>
      <c r="O192" s="266" t="s"/>
      <c r="P192" s="31" t="s"/>
    </row>
    <row r="193" spans="1:16">
      <c r="A193" s="20" t="s"/>
      <c r="B193" s="20" t="s"/>
      <c r="C193" s="152" t="s"/>
      <c r="D193" s="152" t="s"/>
      <c r="E193" s="31" t="s"/>
      <c r="F193" s="265" t="s"/>
      <c r="G193" s="266" t="s"/>
      <c r="H193" s="266" t="s"/>
      <c r="I193" s="266" t="s"/>
      <c r="J193" s="267" t="s"/>
      <c r="K193" s="156" t="s"/>
      <c r="M193" s="157" t="s"/>
      <c r="N193" s="31" t="s"/>
      <c r="O193" s="266" t="s"/>
      <c r="P193" s="31" t="s"/>
    </row>
    <row r="194" spans="1:16">
      <c r="A194" s="20" t="s"/>
      <c r="B194" s="20" t="s"/>
      <c r="C194" s="152" t="s"/>
      <c r="D194" s="152" t="s"/>
      <c r="E194" s="31" t="s"/>
      <c r="F194" s="265" t="s"/>
      <c r="G194" s="266" t="s"/>
      <c r="H194" s="266" t="s"/>
      <c r="I194" s="266" t="s"/>
      <c r="J194" s="267" t="s"/>
      <c r="K194" s="156" t="s"/>
      <c r="M194" s="157" t="s"/>
      <c r="N194" s="31" t="s"/>
      <c r="O194" s="266" t="s"/>
      <c r="P194" s="31" t="s"/>
    </row>
    <row r="195" spans="1:16">
      <c r="A195" s="20" t="s"/>
      <c r="B195" s="20" t="s"/>
      <c r="C195" s="152" t="s"/>
      <c r="D195" s="152" t="s"/>
      <c r="E195" s="31" t="s"/>
      <c r="F195" s="265" t="s"/>
      <c r="G195" s="266" t="s"/>
      <c r="H195" s="266" t="s"/>
      <c r="I195" s="266" t="s"/>
      <c r="J195" s="267" t="s"/>
      <c r="K195" s="156" t="s"/>
      <c r="M195" s="157" t="s"/>
      <c r="N195" s="31" t="s"/>
      <c r="O195" s="266" t="s"/>
      <c r="P195" s="31" t="s"/>
    </row>
    <row r="196" spans="1:16">
      <c r="A196" s="20" t="s"/>
      <c r="B196" s="20" t="s"/>
      <c r="C196" s="152" t="s"/>
      <c r="D196" s="152" t="s"/>
      <c r="E196" s="31" t="s"/>
      <c r="F196" s="265" t="s"/>
      <c r="G196" s="266" t="s"/>
      <c r="H196" s="266" t="s"/>
      <c r="I196" s="266" t="s"/>
      <c r="J196" s="267" t="s"/>
      <c r="K196" s="156" t="s"/>
      <c r="M196" s="157" t="s"/>
      <c r="N196" s="31" t="s"/>
      <c r="O196" s="266" t="s"/>
      <c r="P196" s="31" t="s"/>
    </row>
    <row r="197" spans="1:16">
      <c r="A197" s="20" t="s"/>
      <c r="B197" s="20" t="s"/>
      <c r="C197" s="152" t="s"/>
      <c r="D197" s="152" t="s"/>
      <c r="E197" s="31" t="s"/>
      <c r="F197" s="265" t="s"/>
      <c r="G197" s="266" t="s"/>
      <c r="H197" s="266" t="s"/>
      <c r="I197" s="266" t="s"/>
      <c r="J197" s="267" t="s"/>
      <c r="K197" s="156" t="s"/>
      <c r="M197" s="157" t="s"/>
      <c r="N197" s="31" t="s"/>
      <c r="O197" s="266" t="s"/>
      <c r="P197" s="31" t="s"/>
    </row>
    <row r="198" spans="1:16">
      <c r="A198" s="20" t="s"/>
      <c r="B198" s="20" t="s"/>
      <c r="C198" s="152" t="s"/>
      <c r="D198" s="152" t="s"/>
      <c r="E198" s="31" t="s"/>
      <c r="F198" s="265" t="s"/>
      <c r="G198" s="266" t="s"/>
      <c r="H198" s="266" t="s"/>
      <c r="I198" s="266" t="s"/>
      <c r="J198" s="267" t="s"/>
      <c r="K198" s="156" t="s"/>
      <c r="M198" s="157" t="s"/>
      <c r="N198" s="31" t="s"/>
      <c r="O198" s="266" t="s"/>
      <c r="P198" s="31" t="s"/>
    </row>
    <row r="199" spans="1:16">
      <c r="A199" s="20" t="s"/>
      <c r="B199" s="20" t="s"/>
      <c r="C199" s="152" t="s"/>
      <c r="D199" s="152" t="s"/>
      <c r="E199" s="31" t="s"/>
      <c r="F199" s="265" t="s"/>
      <c r="G199" s="266" t="s"/>
      <c r="H199" s="266" t="s"/>
      <c r="I199" s="266" t="s"/>
      <c r="J199" s="267" t="s"/>
      <c r="K199" s="156" t="s"/>
      <c r="M199" s="157" t="s"/>
      <c r="N199" s="31" t="s"/>
      <c r="O199" s="266" t="s"/>
      <c r="P199" s="31" t="s"/>
    </row>
    <row r="200" spans="1:16">
      <c r="A200" s="20" t="s"/>
      <c r="B200" s="20" t="s"/>
      <c r="C200" s="152" t="s"/>
      <c r="D200" s="152" t="s"/>
      <c r="E200" s="31" t="s"/>
      <c r="F200" s="265" t="s"/>
      <c r="G200" s="266" t="s"/>
      <c r="H200" s="266" t="s"/>
      <c r="I200" s="266" t="s"/>
      <c r="J200" s="267" t="s"/>
      <c r="K200" s="156" t="s"/>
      <c r="M200" s="157" t="s"/>
      <c r="N200" s="31" t="s"/>
      <c r="O200" s="266" t="s"/>
      <c r="P200" s="31" t="s"/>
    </row>
    <row r="201" spans="1:16">
      <c r="A201" s="20" t="s"/>
      <c r="B201" s="20" t="s"/>
      <c r="C201" s="152" t="s"/>
      <c r="D201" s="152" t="s"/>
      <c r="E201" s="31" t="s"/>
      <c r="F201" s="265" t="s"/>
      <c r="G201" s="266" t="s"/>
      <c r="H201" s="266" t="s"/>
      <c r="I201" s="266" t="s"/>
      <c r="J201" s="267" t="s"/>
      <c r="K201" s="156" t="s"/>
      <c r="M201" s="157" t="s"/>
      <c r="N201" s="31" t="s"/>
      <c r="O201" s="266" t="s"/>
      <c r="P201" s="31" t="s"/>
    </row>
    <row r="202" spans="1:16">
      <c r="A202" s="20" t="s"/>
      <c r="B202" s="20" t="s"/>
      <c r="C202" s="152" t="s"/>
      <c r="D202" s="152" t="s"/>
      <c r="E202" s="31" t="s"/>
      <c r="F202" s="265" t="s"/>
      <c r="G202" s="266" t="s"/>
      <c r="H202" s="266" t="s"/>
      <c r="I202" s="266" t="s"/>
      <c r="J202" s="267" t="s"/>
      <c r="K202" s="156" t="s"/>
      <c r="M202" s="157" t="s"/>
      <c r="N202" s="31" t="s"/>
      <c r="O202" s="266" t="s"/>
      <c r="P202" s="31" t="s"/>
    </row>
    <row r="203" spans="1:16">
      <c r="A203" s="20" t="s"/>
      <c r="B203" s="20" t="s"/>
      <c r="C203" s="152" t="s"/>
      <c r="D203" s="152" t="s"/>
      <c r="E203" s="31" t="s"/>
      <c r="F203" s="265" t="s"/>
      <c r="G203" s="266" t="s"/>
      <c r="H203" s="266" t="s"/>
      <c r="I203" s="266" t="s"/>
      <c r="J203" s="267" t="s"/>
      <c r="K203" s="156" t="s"/>
      <c r="M203" s="157" t="s"/>
      <c r="N203" s="31" t="s"/>
      <c r="O203" s="266" t="s"/>
      <c r="P203" s="31" t="s"/>
    </row>
    <row r="204" spans="1:16">
      <c r="A204" s="20" t="s"/>
      <c r="B204" s="20" t="s"/>
      <c r="C204" s="152" t="s"/>
      <c r="D204" s="152" t="s"/>
      <c r="E204" s="31" t="s"/>
      <c r="F204" s="265" t="s"/>
      <c r="G204" s="266" t="s"/>
      <c r="H204" s="266" t="s"/>
      <c r="I204" s="266" t="s"/>
      <c r="J204" s="267" t="s"/>
      <c r="K204" s="156" t="s"/>
      <c r="M204" s="157" t="s"/>
      <c r="N204" s="31" t="s"/>
      <c r="O204" s="266" t="s"/>
      <c r="P204" s="31" t="s"/>
    </row>
    <row r="205" spans="1:16">
      <c r="A205" s="20" t="s"/>
      <c r="B205" s="20" t="s"/>
      <c r="C205" s="152" t="s"/>
      <c r="D205" s="152" t="s"/>
      <c r="E205" s="31" t="s"/>
      <c r="F205" s="265" t="s"/>
      <c r="G205" s="266" t="s"/>
      <c r="H205" s="266" t="s"/>
      <c r="I205" s="266" t="s"/>
      <c r="J205" s="267" t="s"/>
      <c r="K205" s="156" t="s"/>
      <c r="M205" s="157" t="s"/>
      <c r="N205" s="31" t="s"/>
      <c r="O205" s="266" t="s"/>
      <c r="P205" s="31" t="s"/>
    </row>
    <row r="206" spans="1:16">
      <c r="A206" s="20" t="s"/>
      <c r="B206" s="20" t="s"/>
      <c r="C206" s="152" t="s"/>
      <c r="D206" s="152" t="s"/>
      <c r="E206" s="31" t="s"/>
      <c r="F206" s="265" t="s"/>
      <c r="G206" s="266" t="s"/>
      <c r="H206" s="266" t="s"/>
      <c r="I206" s="266" t="s"/>
      <c r="J206" s="267" t="s"/>
      <c r="K206" s="156" t="s"/>
      <c r="M206" s="157" t="s"/>
      <c r="N206" s="31" t="s"/>
      <c r="O206" s="266" t="s"/>
      <c r="P206" s="31" t="s"/>
    </row>
    <row r="207" spans="1:16">
      <c r="A207" s="20" t="s"/>
      <c r="B207" s="20" t="s"/>
      <c r="C207" s="152" t="s"/>
      <c r="D207" s="152" t="s"/>
      <c r="E207" s="31" t="s"/>
      <c r="F207" s="265" t="s"/>
      <c r="G207" s="266" t="s"/>
      <c r="H207" s="266" t="s"/>
      <c r="I207" s="266" t="s"/>
      <c r="J207" s="267" t="s"/>
      <c r="K207" s="156" t="s"/>
      <c r="M207" s="157" t="s"/>
      <c r="N207" s="31" t="s"/>
      <c r="O207" s="266" t="s"/>
      <c r="P207" s="31" t="s"/>
    </row>
    <row r="208" spans="1:16">
      <c r="A208" s="20" t="s"/>
      <c r="B208" s="20" t="s"/>
      <c r="C208" s="152" t="s"/>
      <c r="D208" s="152" t="s"/>
      <c r="E208" s="31" t="s"/>
      <c r="F208" s="265" t="s"/>
      <c r="G208" s="266" t="s"/>
      <c r="H208" s="266" t="s"/>
      <c r="I208" s="266" t="s"/>
      <c r="J208" s="267" t="s"/>
      <c r="K208" s="156" t="s"/>
      <c r="M208" s="157" t="s"/>
      <c r="N208" s="31" t="s"/>
      <c r="O208" s="266" t="s"/>
      <c r="P208" s="31" t="s"/>
    </row>
    <row r="209" spans="1:16">
      <c r="A209" s="20" t="s"/>
      <c r="B209" s="20" t="s"/>
      <c r="C209" s="152" t="s"/>
      <c r="D209" s="152" t="s"/>
      <c r="E209" s="31" t="s"/>
      <c r="F209" s="265" t="s"/>
      <c r="G209" s="266" t="s"/>
      <c r="H209" s="266" t="s"/>
      <c r="I209" s="266" t="s"/>
      <c r="J209" s="267" t="s"/>
      <c r="K209" s="156" t="s"/>
      <c r="M209" s="157" t="s"/>
      <c r="N209" s="31" t="s"/>
      <c r="O209" s="266" t="s"/>
      <c r="P209" s="31" t="s"/>
    </row>
    <row r="210" spans="1:16">
      <c r="A210" s="20" t="s"/>
      <c r="B210" s="20" t="s"/>
      <c r="C210" s="152" t="s"/>
      <c r="D210" s="152" t="s"/>
      <c r="E210" s="31" t="s"/>
      <c r="F210" s="265" t="s"/>
      <c r="G210" s="266" t="s"/>
      <c r="H210" s="266" t="s"/>
      <c r="I210" s="266" t="s"/>
      <c r="J210" s="267" t="s"/>
      <c r="K210" s="156" t="s"/>
      <c r="M210" s="157" t="s"/>
      <c r="N210" s="31" t="s"/>
      <c r="O210" s="266" t="s"/>
      <c r="P210" s="31" t="s"/>
    </row>
    <row r="211" spans="1:16">
      <c r="A211" s="20" t="s"/>
      <c r="B211" s="20" t="s"/>
      <c r="C211" s="152" t="s"/>
      <c r="D211" s="152" t="s"/>
      <c r="E211" s="31" t="s"/>
      <c r="F211" s="265" t="s"/>
      <c r="G211" s="266" t="s"/>
      <c r="H211" s="266" t="s"/>
      <c r="I211" s="266" t="s"/>
      <c r="J211" s="267" t="s"/>
      <c r="K211" s="156" t="s"/>
      <c r="M211" s="157" t="s"/>
      <c r="N211" s="31" t="s"/>
      <c r="O211" s="266" t="s"/>
      <c r="P211" s="31" t="s"/>
    </row>
    <row r="212" spans="1:16">
      <c r="A212" s="20" t="s"/>
      <c r="B212" s="20" t="s"/>
      <c r="C212" s="152" t="s"/>
      <c r="D212" s="152" t="s"/>
      <c r="E212" s="31" t="s"/>
      <c r="F212" s="265" t="s"/>
      <c r="G212" s="266" t="s"/>
      <c r="H212" s="266" t="s"/>
      <c r="I212" s="266" t="s"/>
      <c r="J212" s="267" t="s"/>
      <c r="K212" s="156" t="s"/>
      <c r="M212" s="157" t="s"/>
      <c r="N212" s="31" t="s"/>
      <c r="O212" s="266" t="s"/>
      <c r="P212" s="31" t="s"/>
    </row>
    <row r="213" spans="1:16">
      <c r="A213" s="20" t="s"/>
      <c r="B213" s="20" t="s"/>
      <c r="C213" s="152" t="s"/>
      <c r="D213" s="152" t="s"/>
      <c r="E213" s="31" t="s"/>
      <c r="F213" s="265" t="s"/>
      <c r="G213" s="266" t="s"/>
      <c r="H213" s="266" t="s"/>
      <c r="I213" s="266" t="s"/>
      <c r="J213" s="267" t="s"/>
      <c r="K213" s="156" t="s"/>
      <c r="M213" s="157" t="s"/>
      <c r="N213" s="31" t="s"/>
      <c r="O213" s="266" t="s"/>
      <c r="P213" s="31" t="s"/>
    </row>
    <row r="214" spans="1:16">
      <c r="A214" s="20" t="s"/>
      <c r="B214" s="20" t="s"/>
      <c r="C214" s="152" t="s"/>
      <c r="D214" s="152" t="s"/>
      <c r="E214" s="31" t="s"/>
      <c r="F214" s="265" t="s"/>
      <c r="G214" s="266" t="s"/>
      <c r="H214" s="266" t="s"/>
      <c r="I214" s="266" t="s"/>
      <c r="J214" s="267" t="s"/>
      <c r="K214" s="156" t="s"/>
      <c r="M214" s="157" t="s"/>
      <c r="N214" s="31" t="s"/>
      <c r="O214" s="266" t="s"/>
      <c r="P214" s="31" t="s"/>
    </row>
    <row r="215" spans="1:16">
      <c r="A215" s="20" t="s"/>
      <c r="B215" s="20" t="s"/>
      <c r="C215" s="152" t="s"/>
      <c r="D215" s="152" t="s"/>
      <c r="E215" s="31" t="s"/>
      <c r="F215" s="265" t="s"/>
      <c r="G215" s="266" t="s"/>
      <c r="H215" s="266" t="s"/>
      <c r="I215" s="266" t="s"/>
      <c r="J215" s="267" t="s"/>
      <c r="K215" s="156" t="s"/>
      <c r="M215" s="157" t="s"/>
      <c r="N215" s="31" t="s"/>
      <c r="O215" s="266" t="s"/>
      <c r="P215" s="31" t="s"/>
    </row>
    <row r="216" spans="1:16">
      <c r="A216" s="20" t="s"/>
      <c r="B216" s="20" t="s"/>
      <c r="C216" s="152" t="s"/>
      <c r="D216" s="152" t="s"/>
      <c r="E216" s="31" t="s"/>
      <c r="F216" s="265" t="s"/>
      <c r="G216" s="266" t="s"/>
      <c r="H216" s="266" t="s"/>
      <c r="I216" s="266" t="s"/>
      <c r="J216" s="267" t="s"/>
      <c r="K216" s="156" t="s"/>
      <c r="M216" s="157" t="s"/>
      <c r="N216" s="31" t="s"/>
      <c r="O216" s="266" t="s"/>
      <c r="P216" s="31" t="s"/>
    </row>
    <row r="217" spans="1:16">
      <c r="A217" s="20" t="s"/>
      <c r="B217" s="20" t="s"/>
      <c r="C217" s="152" t="s"/>
      <c r="D217" s="152" t="s"/>
      <c r="E217" s="31" t="s"/>
      <c r="F217" s="265" t="s"/>
      <c r="G217" s="266" t="s"/>
      <c r="H217" s="266" t="s"/>
      <c r="I217" s="266" t="s"/>
      <c r="J217" s="267" t="s"/>
      <c r="K217" s="156" t="s"/>
      <c r="M217" s="157" t="s"/>
      <c r="N217" s="31" t="s"/>
      <c r="O217" s="266" t="s"/>
      <c r="P217" s="31" t="s"/>
    </row>
    <row r="218" spans="1:16">
      <c r="A218" s="20" t="s"/>
      <c r="B218" s="20" t="s"/>
      <c r="C218" s="152" t="s"/>
      <c r="D218" s="152" t="s"/>
      <c r="E218" s="31" t="s"/>
      <c r="F218" s="265" t="s"/>
      <c r="G218" s="266" t="s"/>
      <c r="H218" s="266" t="s"/>
      <c r="I218" s="266" t="s"/>
      <c r="J218" s="267" t="s"/>
      <c r="K218" s="156" t="s"/>
      <c r="M218" s="157" t="s"/>
      <c r="N218" s="31" t="s"/>
      <c r="O218" s="266" t="s"/>
      <c r="P218" s="31" t="s"/>
    </row>
    <row r="219" spans="1:16">
      <c r="A219" s="20" t="s"/>
      <c r="B219" s="20" t="s"/>
      <c r="C219" s="152" t="s"/>
      <c r="D219" s="152" t="s"/>
      <c r="E219" s="31" t="s"/>
      <c r="F219" s="265" t="s"/>
      <c r="G219" s="266" t="s"/>
      <c r="H219" s="266" t="s"/>
      <c r="I219" s="266" t="s"/>
      <c r="J219" s="267" t="s"/>
      <c r="K219" s="156" t="s"/>
      <c r="M219" s="157" t="s"/>
      <c r="N219" s="31" t="s"/>
      <c r="O219" s="266" t="s"/>
      <c r="P219" s="31" t="s"/>
    </row>
    <row r="220" spans="1:16">
      <c r="A220" s="20" t="s"/>
      <c r="B220" s="20" t="s"/>
      <c r="C220" s="152" t="s"/>
      <c r="D220" s="152" t="s"/>
      <c r="E220" s="31" t="s"/>
      <c r="F220" s="265" t="s"/>
      <c r="G220" s="266" t="s"/>
      <c r="H220" s="266" t="s"/>
      <c r="I220" s="266" t="s"/>
      <c r="J220" s="267" t="s"/>
      <c r="K220" s="156" t="s"/>
      <c r="M220" s="157" t="s"/>
      <c r="N220" s="31" t="s"/>
      <c r="O220" s="266" t="s"/>
      <c r="P220" s="31" t="s"/>
    </row>
    <row r="221" spans="1:16">
      <c r="A221" s="20" t="s"/>
      <c r="B221" s="20" t="s"/>
      <c r="C221" s="152" t="s"/>
      <c r="D221" s="152" t="s"/>
      <c r="E221" s="31" t="s"/>
      <c r="F221" s="265" t="s"/>
      <c r="G221" s="266" t="s"/>
      <c r="H221" s="266" t="s"/>
      <c r="I221" s="266" t="s"/>
      <c r="J221" s="267" t="s"/>
      <c r="K221" s="156" t="s"/>
      <c r="M221" s="157" t="s"/>
      <c r="N221" s="31" t="s"/>
      <c r="O221" s="266" t="s"/>
      <c r="P221" s="31" t="s"/>
    </row>
    <row r="222" spans="1:16">
      <c r="A222" s="20" t="s"/>
      <c r="B222" s="20" t="s"/>
      <c r="C222" s="152" t="s"/>
      <c r="D222" s="152" t="s"/>
      <c r="E222" s="31" t="s"/>
      <c r="F222" s="265" t="s"/>
      <c r="G222" s="266" t="s"/>
      <c r="H222" s="266" t="s"/>
      <c r="I222" s="266" t="s"/>
      <c r="J222" s="267" t="s"/>
      <c r="K222" s="156" t="s"/>
      <c r="M222" s="157" t="s"/>
      <c r="N222" s="31" t="s"/>
      <c r="O222" s="266" t="s"/>
      <c r="P222" s="31" t="s"/>
    </row>
  </sheetData>
  <conditionalFormatting sqref="B1:B222">
    <cfRule type="duplicateValues" dxfId="0" priority="1"/>
  </conditionalFormatting>
  <conditionalFormatting sqref="B1 B8:B18 B20:B222">
    <cfRule type="duplicateValues" dxfId="0" priority="2"/>
  </conditionalFormatting>
  <dataValidations>
    <dataValidation type="date" errorStyle="stop" allowBlank="true" showDropDown="false" showInputMessage="true" showErrorMessage="true" prompt="" sqref="O3:O1048576">
      <formula1/>
      <formula2/>
    </dataValidation>
    <dataValidation type="list" errorStyle="stop" allowBlank="true" showDropDown="false" showInputMessage="true" showErrorMessage="true" prompt="" sqref="D3:D1048576">
      <formula1>"MAVO Edge 8K,MAVO Edge 6K,MAVO mark2 LF,MAVO mark2 S35,MAVO LF,MAVO S35,TERRA 6K,TERRA 4K,其他,配件,"</formula1>
    </dataValidation>
    <dataValidation type="list" errorStyle="stop" allowBlank="true" showDropDown="false" showInputMessage="true" showErrorMessage="true" prompt="" sqref="K3:K1048576">
      <formula1>"ProAV,Gapfa,AKSCine,DP Gadget,Cinetx,Others,"</formula1>
    </dataValidation>
    <dataValidation type="list" errorStyle="stop" allowBlank="true" showDropDown="false" showInputMessage="true" showErrorMessage="true" prompt="" sqref="C3:C1048576">
      <formula1>"问题沟通中,配件准备中,经销商维修中,配件已寄出,经销商寄回深圳中,深圳维修中,深圳维修完成，待寄回,深圳维修完成，已寄出,付款确认中,配件待寄回,返修完成,已取消,"</formula1>
    </dataValidation>
    <dataValidation type="decimal" errorStyle="stop" operator="between" allowBlank="true" showDropDown="false" showInputMessage="true" showErrorMessage="true" prompt="" sqref="J3:J1048576">
      <formula1>0</formula1>
      <formula2>100</formula2>
    </dataValidation>
    <dataValidation type="date" errorStyle="stop" allowBlank="true" showDropDown="false" showInputMessage="true" showErrorMessage="true" prompt="" sqref="G3:G1048576">
      <formula1/>
      <formula2/>
    </dataValidation>
    <dataValidation type="list" errorStyle="stop" allowBlank="true" showDropDown="false" showInputMessage="true" showErrorMessage="true" prompt="" sqref="M3:M1048576">
      <formula1>"Nick,Return(Nicola),Return(Tom),Jerome,Sarah,Eric,Dong,Marcus,Others,"</formula1>
    </dataValidation>
    <dataValidation type="date" errorStyle="stop" allowBlank="true" showDropDown="false" showInputMessage="true" showErrorMessage="true" prompt="" sqref="H2:H222">
      <formula1/>
      <formula2/>
    </dataValidation>
    <dataValidation type="decimal" errorStyle="stop" operator="between" allowBlank="true" showDropDown="false" showInputMessage="true" showErrorMessage="true" prompt="" sqref="L5">
      <formula1>0</formula1>
      <formula2>100</formula2>
    </dataValidation>
    <dataValidation type="decimal" errorStyle="stop" operator="between" allowBlank="true" showDropDown="false" showInputMessage="true" showErrorMessage="true" prompt="" sqref="L27">
      <formula1>0</formula1>
      <formula2>100</formula2>
    </dataValidation>
    <dataValidation type="decimal" errorStyle="stop" operator="between" allowBlank="true" showDropDown="false" showInputMessage="true" showErrorMessage="true" prompt="" sqref="R5">
      <formula1>0</formula1>
      <formula2>100</formula2>
    </dataValidation>
    <dataValidation type="decimal" errorStyle="stop" operator="between" allowBlank="true" showDropDown="false" showInputMessage="true" showErrorMessage="true" prompt="" sqref="R27">
      <formula1>0</formula1>
      <formula2>100</formula2>
    </dataValidation>
  </dataValidations>
</worksheet>
</file>

<file path=xl/worksheets/sheet4.xml><?xml version="1.0" encoding="utf-8"?>
<worksheet xmlns="http://schemas.openxmlformats.org/spreadsheetml/2006/main">
  <sheetPr codeName="RMA规则">
    <tabColor rgb="FFFFFFFF"/>
  </sheetPr>
  <dimension ref="F43"/>
  <sheetViews>
    <sheetView showGridLines="true" workbookViewId="0"/>
  </sheetViews>
  <cols>
    <col min="1" max="1" width="9.71094" customWidth="true"/>
    <col min="2" max="2" width="22.7109" customWidth="true"/>
    <col min="3" max="3" width="3.91406" customWidth="true"/>
    <col min="4" max="4" width="31.7109" customWidth="true"/>
    <col min="5" max="5" width="3.91406" customWidth="true"/>
    <col min="6" max="7" width="22.7109" customWidth="true"/>
    <col min="8" max="8" width="13.7109" customWidth="true"/>
  </cols>
  <sheetData>
    <row r="1" spans="1:8">
      <c r="A1" s="268" t="s"/>
      <c r="B1" s="268" t="s"/>
      <c r="C1" s="268" t="s"/>
      <c r="D1" s="269" t="s"/>
      <c r="E1" s="269" t="s"/>
      <c r="F1" s="269" t="s"/>
      <c r="G1" s="268" t="s"/>
      <c r="H1" s="268" t="s"/>
    </row>
    <row r="2" spans="1:8">
      <c r="A2" s="269" t="s"/>
      <c r="B2" s="270" t="s">
        <v>397</v>
      </c>
      <c r="C2" s="270" t="s">
        <v>398</v>
      </c>
      <c r="D2" s="270" t="s">
        <v>399</v>
      </c>
      <c r="E2" s="271" t="s">
        <v>398</v>
      </c>
      <c r="F2" s="270" t="s">
        <v>400</v>
      </c>
      <c r="G2" s="272" t="s">
        <v>401</v>
      </c>
      <c r="H2" s="269" t="s"/>
    </row>
    <row r="3" spans="1:8">
      <c r="A3" s="269" t="s"/>
      <c r="B3" s="273" t="s">
        <v>402</v>
      </c>
      <c r="C3" s="273" t="s">
        <v>398</v>
      </c>
      <c r="D3" s="273" t="s">
        <v>403</v>
      </c>
      <c r="E3" s="274" t="s">
        <v>398</v>
      </c>
      <c r="F3" s="273" t="s">
        <v>404</v>
      </c>
      <c r="G3" s="275" t="s">
        <v>405</v>
      </c>
      <c r="H3" s="269" t="s"/>
    </row>
    <row r="4" spans="1:8">
      <c r="A4" s="269" t="s"/>
      <c r="B4" s="269" t="s">
        <v>406</v>
      </c>
      <c r="C4" s="273" t="s">
        <v>398</v>
      </c>
      <c r="D4" s="276" t="s">
        <v>407</v>
      </c>
      <c r="E4" s="274" t="s">
        <v>398</v>
      </c>
      <c r="F4" s="273">
        <v>24</v>
      </c>
      <c r="G4" s="276" t="s">
        <v>408</v>
      </c>
      <c r="H4" s="269" t="s"/>
    </row>
    <row r="5" spans="1:8">
      <c r="A5" s="269" t="s"/>
      <c r="B5" s="269" t="s">
        <v>409</v>
      </c>
      <c r="C5" s="269" t="s">
        <v>398</v>
      </c>
      <c r="D5" s="269" t="s">
        <v>410</v>
      </c>
      <c r="E5" s="269" t="s">
        <v>398</v>
      </c>
      <c r="F5" s="269" t="s">
        <v>411</v>
      </c>
      <c r="G5" s="269" t="s">
        <v>412</v>
      </c>
      <c r="H5" s="269" t="s"/>
    </row>
    <row r="6" spans="1:8">
      <c r="A6" s="269" t="s"/>
      <c r="B6" s="269" t="s"/>
      <c r="C6" s="269" t="s"/>
      <c r="D6" s="269" t="s"/>
      <c r="E6" s="269" t="s"/>
      <c r="F6" s="269" t="s"/>
      <c r="G6" s="269" t="s"/>
      <c r="H6" s="269" t="s"/>
    </row>
    <row r="7" spans="1:8">
      <c r="A7" s="269" t="s"/>
      <c r="B7" s="277" t="s">
        <v>413</v>
      </c>
      <c r="C7" s="278" t="s"/>
      <c r="D7" s="278" t="s">
        <v>414</v>
      </c>
      <c r="E7" s="279" t="s"/>
      <c r="F7" s="280" t="s">
        <v>415</v>
      </c>
      <c r="G7" s="281" t="s"/>
      <c r="H7" s="269" t="s"/>
    </row>
    <row r="8" spans="1:8">
      <c r="A8" s="269" t="s"/>
      <c r="B8" s="282" t="s">
        <v>416</v>
      </c>
      <c r="C8" s="283" t="s"/>
      <c r="D8" s="283" t="s">
        <v>417</v>
      </c>
      <c r="E8" s="284" t="s"/>
      <c r="F8" s="285" t="s">
        <v>418</v>
      </c>
      <c r="G8" s="286" t="s"/>
      <c r="H8" s="269" t="s"/>
    </row>
    <row r="9" spans="1:8">
      <c r="A9" s="268" t="s"/>
      <c r="B9" s="268" t="s"/>
      <c r="C9" s="268" t="s"/>
      <c r="D9" s="269" t="s"/>
      <c r="E9" s="269" t="s"/>
      <c r="F9" s="269" t="s"/>
      <c r="G9" s="268" t="s"/>
      <c r="H9" s="268" t="s"/>
    </row>
    <row r="10" spans="1:9">
      <c r="A10" s="268" t="s"/>
      <c r="B10" s="287" t="s">
        <v>419</v>
      </c>
      <c r="C10" s="287" t="s"/>
      <c r="D10" s="287" t="s">
        <v>420</v>
      </c>
      <c r="E10" s="287" t="s"/>
      <c r="F10" s="287" t="s">
        <v>421</v>
      </c>
      <c r="G10" s="269" t="s"/>
      <c r="H10" s="287" t="s">
        <v>422</v>
      </c>
      <c r="I10" s="287" t="s">
        <v>423</v>
      </c>
    </row>
    <row r="11" spans="1:9">
      <c r="A11" s="268" t="s"/>
      <c r="B11" s="268" t="s">
        <v>424</v>
      </c>
      <c r="C11" s="268" t="s"/>
      <c r="D11" s="268" t="s">
        <v>425</v>
      </c>
      <c r="E11" s="269" t="s"/>
      <c r="F11" s="269" t="s">
        <v>426</v>
      </c>
      <c r="G11" s="268" t="s"/>
      <c r="H11" s="268" t="s">
        <v>410</v>
      </c>
      <c r="I11" s="288" t="s">
        <v>407</v>
      </c>
    </row>
    <row r="12" spans="1:9">
      <c r="A12" s="268" t="s"/>
      <c r="B12" s="268" t="s">
        <v>424</v>
      </c>
      <c r="C12" s="268" t="s"/>
      <c r="D12" s="268" t="s">
        <v>409</v>
      </c>
      <c r="E12" s="269" t="s"/>
      <c r="F12" s="269" t="s">
        <v>406</v>
      </c>
      <c r="G12" s="268" t="s"/>
      <c r="H12" s="268" t="s">
        <v>427</v>
      </c>
      <c r="I12" s="288" t="s">
        <v>428</v>
      </c>
    </row>
    <row r="13" spans="1:9">
      <c r="A13" s="268" t="s"/>
      <c r="B13" s="268" t="s">
        <v>424</v>
      </c>
      <c r="C13" s="268" t="s"/>
      <c r="D13" s="268" t="s">
        <v>234</v>
      </c>
      <c r="E13" s="269" t="s"/>
      <c r="F13" s="269" t="s">
        <v>429</v>
      </c>
      <c r="G13" s="268" t="s"/>
      <c r="H13" s="268" t="s">
        <v>430</v>
      </c>
      <c r="I13" s="269">
        <v>11</v>
      </c>
    </row>
    <row r="14" spans="1:9">
      <c r="A14" s="268" t="s"/>
      <c r="B14" s="268" t="s">
        <v>424</v>
      </c>
      <c r="C14" s="268" t="s"/>
      <c r="D14" s="268" t="s">
        <v>239</v>
      </c>
      <c r="E14" s="269" t="s"/>
      <c r="F14" s="269" t="s">
        <v>431</v>
      </c>
      <c r="G14" s="268" t="s"/>
      <c r="H14" s="268" t="s">
        <v>432</v>
      </c>
      <c r="I14" s="269">
        <v>12</v>
      </c>
    </row>
    <row r="15" spans="1:8">
      <c r="A15" s="268" t="s"/>
      <c r="B15" s="268" t="s">
        <v>424</v>
      </c>
      <c r="C15" s="268" t="s"/>
      <c r="D15" s="268" t="s">
        <v>231</v>
      </c>
      <c r="E15" s="269" t="s"/>
      <c r="F15" s="269" t="s">
        <v>433</v>
      </c>
      <c r="G15" s="268" t="s"/>
      <c r="H15" s="268" t="s"/>
    </row>
    <row r="16" spans="1:8">
      <c r="A16" s="268" t="s"/>
      <c r="B16" s="268" t="s">
        <v>424</v>
      </c>
      <c r="C16" s="268" t="s"/>
      <c r="D16" s="268" t="s">
        <v>330</v>
      </c>
      <c r="E16" s="269" t="s"/>
      <c r="F16" s="269" t="s">
        <v>434</v>
      </c>
      <c r="G16" s="268" t="s"/>
      <c r="H16" s="268" t="s"/>
    </row>
    <row r="17" spans="1:8">
      <c r="A17" s="268" t="s"/>
      <c r="B17" s="268" t="s">
        <v>424</v>
      </c>
      <c r="C17" s="268" t="s"/>
      <c r="D17" s="268" t="s">
        <v>435</v>
      </c>
      <c r="E17" s="269" t="s"/>
      <c r="F17" s="269" t="s">
        <v>436</v>
      </c>
      <c r="G17" s="268" t="s"/>
      <c r="H17" s="268" t="s"/>
    </row>
    <row r="18" spans="1:8">
      <c r="A18" s="268" t="s"/>
      <c r="B18" s="268" t="s">
        <v>424</v>
      </c>
      <c r="C18" s="268" t="s"/>
      <c r="D18" s="268" t="s">
        <v>437</v>
      </c>
      <c r="E18" s="269" t="s"/>
      <c r="F18" s="269" t="s">
        <v>438</v>
      </c>
      <c r="G18" s="268" t="s"/>
      <c r="H18" s="268" t="s"/>
    </row>
    <row r="19" spans="1:8">
      <c r="A19" s="268" t="s"/>
      <c r="B19" s="268" t="s">
        <v>424</v>
      </c>
      <c r="C19" s="268" t="s"/>
      <c r="D19" s="268" t="s">
        <v>439</v>
      </c>
      <c r="E19" s="269" t="s"/>
      <c r="F19" s="269" t="s">
        <v>440</v>
      </c>
      <c r="G19" s="268" t="s"/>
      <c r="H19" s="268" t="s"/>
    </row>
    <row r="20" spans="1:8">
      <c r="A20" s="268" t="s"/>
      <c r="B20" s="268" t="s">
        <v>424</v>
      </c>
      <c r="C20" s="268" t="s"/>
      <c r="D20" s="268" t="s">
        <v>441</v>
      </c>
      <c r="E20" s="269" t="s"/>
      <c r="F20" s="269" t="s">
        <v>442</v>
      </c>
      <c r="G20" s="268" t="s"/>
      <c r="H20" s="268" t="s"/>
    </row>
    <row r="21" spans="1:8">
      <c r="A21" s="268" t="s"/>
      <c r="B21" s="268" t="s">
        <v>424</v>
      </c>
      <c r="C21" s="268" t="s"/>
      <c r="D21" s="268" t="s">
        <v>443</v>
      </c>
      <c r="E21" s="269" t="s"/>
      <c r="F21" s="269" t="s">
        <v>444</v>
      </c>
      <c r="G21" s="268" t="s"/>
      <c r="H21" s="268" t="s"/>
    </row>
    <row r="22" spans="1:8">
      <c r="A22" s="268" t="s"/>
      <c r="B22" s="268" t="s">
        <v>424</v>
      </c>
      <c r="C22" s="268" t="s"/>
      <c r="D22" s="268" t="s">
        <v>445</v>
      </c>
      <c r="E22" s="269" t="s"/>
      <c r="F22" s="269" t="s">
        <v>446</v>
      </c>
      <c r="G22" s="268" t="s"/>
      <c r="H22" s="268" t="s"/>
    </row>
    <row r="23" spans="1:8">
      <c r="A23" s="268" t="s"/>
      <c r="B23" s="268" t="s">
        <v>424</v>
      </c>
      <c r="C23" s="268" t="s"/>
      <c r="D23" s="268" t="s">
        <v>447</v>
      </c>
      <c r="E23" s="269" t="s"/>
      <c r="F23" s="269" t="s">
        <v>444</v>
      </c>
      <c r="G23" s="268" t="s"/>
      <c r="H23" s="268" t="s"/>
    </row>
    <row r="24" spans="1:8">
      <c r="A24" s="268" t="s"/>
      <c r="B24" s="268" t="s">
        <v>448</v>
      </c>
      <c r="C24" s="268" t="s"/>
      <c r="D24" s="268" t="s">
        <v>449</v>
      </c>
      <c r="E24" s="269" t="s"/>
      <c r="F24" s="269" t="s">
        <v>450</v>
      </c>
      <c r="G24" s="268" t="s"/>
      <c r="H24" s="268" t="s"/>
    </row>
    <row r="25" spans="1:8">
      <c r="A25" s="268" t="s"/>
      <c r="B25" s="268" t="s">
        <v>448</v>
      </c>
      <c r="D25" s="268" t="s">
        <v>451</v>
      </c>
      <c r="F25" s="269" t="s">
        <v>452</v>
      </c>
      <c r="G25" s="268" t="s"/>
      <c r="H25" s="268" t="s"/>
    </row>
    <row r="26" spans="1:8">
      <c r="A26" s="268" t="s"/>
      <c r="B26" s="268" t="s">
        <v>448</v>
      </c>
      <c r="C26" s="268" t="s"/>
      <c r="D26" s="268" t="s">
        <v>453</v>
      </c>
      <c r="E26" s="269" t="s"/>
      <c r="F26" s="269" t="s">
        <v>454</v>
      </c>
      <c r="G26" s="268" t="s"/>
      <c r="H26" s="268" t="s"/>
    </row>
    <row r="27" spans="1:8">
      <c r="A27" s="268" t="s"/>
      <c r="B27" t="s">
        <v>448</v>
      </c>
      <c r="C27" s="268" t="s"/>
      <c r="D27" s="289" t="s">
        <v>455</v>
      </c>
      <c r="E27" s="269" t="s"/>
      <c r="F27" s="269" t="s">
        <v>456</v>
      </c>
      <c r="G27" s="268" t="s"/>
      <c r="H27" s="268" t="s"/>
    </row>
    <row r="28" spans="1:8">
      <c r="A28" s="268" t="s"/>
      <c r="B28" s="268" t="s">
        <v>457</v>
      </c>
      <c r="C28" s="268" t="s"/>
      <c r="D28" s="269" t="s"/>
      <c r="E28" s="269" t="s"/>
      <c r="F28" s="269" t="s"/>
      <c r="G28" s="268" t="s"/>
      <c r="H28" s="268" t="s"/>
    </row>
    <row r="29" spans="1:8">
      <c r="A29" s="268" t="s"/>
      <c r="B29" s="268" t="s"/>
      <c r="C29" s="268" t="s"/>
      <c r="D29" s="269" t="s"/>
      <c r="E29" s="269" t="s"/>
      <c r="F29" s="269" t="s">
        <v>458</v>
      </c>
      <c r="G29" s="268" t="s"/>
      <c r="H29" s="268" t="s"/>
    </row>
    <row r="30" spans="1:8">
      <c r="A30" s="268" t="s"/>
      <c r="B30" s="268" t="s">
        <v>459</v>
      </c>
      <c r="C30" s="268" t="s"/>
      <c r="D30" s="269" t="s"/>
      <c r="E30" s="269" t="s"/>
      <c r="F30" s="269" t="s"/>
      <c r="G30" s="268" t="s"/>
      <c r="H30" s="268" t="s"/>
    </row>
    <row r="31" spans="1:8">
      <c r="A31" s="268" t="s"/>
      <c r="C31" s="268" t="s"/>
      <c r="D31" s="269" t="s"/>
      <c r="E31" s="269" t="s"/>
      <c r="F31" s="269" t="s"/>
      <c r="G31" s="268" t="s"/>
      <c r="H31" s="268" t="s"/>
    </row>
    <row r="32" spans="1:8">
      <c r="A32" s="268" t="s"/>
      <c r="B32" s="268" t="s"/>
      <c r="C32" s="268" t="s"/>
      <c r="D32" s="269" t="s"/>
      <c r="E32" s="269" t="s"/>
      <c r="F32" s="269" t="s"/>
      <c r="G32" s="268" t="s"/>
      <c r="H32" s="268" t="s"/>
    </row>
    <row r="33" spans="1:8">
      <c r="A33" s="268" t="s"/>
      <c r="B33" s="268" t="s"/>
      <c r="C33" s="268" t="s"/>
      <c r="D33" s="269" t="s"/>
      <c r="E33" s="269" t="s"/>
      <c r="F33" s="269" t="s"/>
      <c r="G33" s="268" t="s"/>
      <c r="H33" s="268" t="s"/>
    </row>
    <row r="34" spans="1:8">
      <c r="A34" s="268" t="s"/>
      <c r="B34" s="268" t="s"/>
      <c r="C34" s="268" t="s"/>
      <c r="D34" s="269" t="s"/>
      <c r="E34" s="269" t="s"/>
      <c r="F34" s="269" t="s"/>
      <c r="G34" s="268" t="s"/>
      <c r="H34" s="268" t="s"/>
    </row>
    <row r="35" spans="1:8">
      <c r="A35" s="268" t="s"/>
      <c r="B35" s="268" t="s"/>
      <c r="C35" s="268" t="s"/>
      <c r="D35" s="269" t="s"/>
      <c r="E35" s="269" t="s"/>
      <c r="F35" s="269" t="s"/>
      <c r="G35" s="268" t="s"/>
      <c r="H35" s="268" t="s"/>
    </row>
    <row r="36" spans="1:8">
      <c r="A36" s="268" t="s"/>
      <c r="B36" s="268" t="s"/>
      <c r="C36" s="268" t="s"/>
      <c r="D36" s="269" t="s"/>
      <c r="E36" s="269" t="s"/>
      <c r="F36" s="269" t="s"/>
      <c r="G36" s="268" t="s"/>
      <c r="H36" s="268" t="s"/>
    </row>
    <row r="37" spans="1:8">
      <c r="A37" s="269" t="s"/>
      <c r="E37" s="290" t="s"/>
      <c r="F37" s="290" t="s"/>
      <c r="G37" s="269" t="s"/>
      <c r="H37" s="269" t="s"/>
    </row>
    <row r="38" spans="1:8">
      <c r="A38" s="268" t="s"/>
      <c r="E38" s="269" t="s"/>
      <c r="F38" s="269" t="s"/>
      <c r="G38" s="268" t="s"/>
      <c r="H38" s="268" t="s"/>
    </row>
    <row r="39" spans="1:8">
      <c r="A39" s="268" t="s"/>
      <c r="E39" s="269" t="s"/>
      <c r="F39" s="269" t="s"/>
      <c r="G39" s="268" t="s"/>
      <c r="H39" s="268" t="s"/>
    </row>
    <row r="40" spans="1:8">
      <c r="A40" s="268" t="s"/>
      <c r="E40" s="269" t="s"/>
      <c r="F40" s="269" t="s"/>
      <c r="G40" s="268" t="s"/>
      <c r="H40" s="268" t="s"/>
    </row>
    <row r="41" spans="1:8">
      <c r="A41" s="268" t="s"/>
      <c r="E41" s="269" t="s"/>
      <c r="F41" s="269" t="s"/>
      <c r="G41" s="268" t="s"/>
      <c r="H41" s="268" t="s"/>
    </row>
    <row r="43" spans="4:6">
      <c r="D43" t="s">
        <v>460</v>
      </c>
      <c r="F43" t="s">
        <v>461</v>
      </c>
    </row>
  </sheetData>
  <mergeCells count="2">
    <mergeCell ref="F7:G7"/>
    <mergeCell ref="F8:G8"/>
  </mergeCells>
</worksheet>
</file>

<file path=xl/worksheets/sheet5.xml><?xml version="1.0" encoding="utf-8"?>
<worksheet xmlns="http://schemas.openxmlformats.org/spreadsheetml/2006/main">
  <sheetPr>
    <tabColor rgb="FFFFFFFF"/>
  </sheetPr>
  <dimension ref="F208"/>
  <sheetViews>
    <sheetView showGridLines="true" rightToLeft="false" workbookViewId="0"/>
  </sheetViews>
  <cols>
    <col min="2" max="2" width="10.1211" customWidth="true"/>
    <col min="3" max="3" width="21.4531" customWidth="true"/>
    <col min="4" max="5" width="59.6445" customWidth="true"/>
  </cols>
  <sheetData>
    <row r="1" spans="2:6">
      <c r="B1" s="20" t="s"/>
      <c r="C1" s="20" t="s"/>
      <c r="F1" s="20" t="s"/>
    </row>
    <row r="2" spans="2:6">
      <c r="B2" s="117" t="s"/>
      <c r="C2" s="20" t="s"/>
      <c r="F2" s="20" t="s"/>
    </row>
    <row r="3" spans="2:6">
      <c r="B3" s="117" t="s">
        <v>195</v>
      </c>
      <c r="C3" s="20" t="s">
        <v>196</v>
      </c>
      <c r="D3" t="s">
        <v>56</v>
      </c>
      <c r="F3" s="20" t="s"/>
    </row>
    <row r="4" spans="3:6">
      <c r="C4" s="20" t="s"/>
      <c r="F4" s="20" t="s"/>
    </row>
    <row r="5" spans="2:6">
      <c r="B5" s="117">
        <v>45283</v>
      </c>
      <c r="C5" s="20" t="s">
        <v>196</v>
      </c>
      <c r="D5" s="31" t="s">
        <v>197</v>
      </c>
      <c r="E5" s="31" t="s">
        <v>198</v>
      </c>
      <c r="F5" s="20" t="s"/>
    </row>
    <row r="6" spans="2:6">
      <c r="B6" s="20" t="s"/>
      <c r="C6" s="20" t="s"/>
      <c r="F6" s="20" t="s"/>
    </row>
    <row r="7" spans="2:6">
      <c r="B7" s="20" t="s"/>
      <c r="C7" s="20" t="s"/>
      <c r="F7" s="20" t="s"/>
    </row>
    <row r="8" spans="2:6">
      <c r="B8" s="20" t="s"/>
      <c r="C8" s="20" t="s"/>
      <c r="F8" s="20" t="s"/>
    </row>
    <row r="9" spans="2:6">
      <c r="B9" s="117">
        <v>45253</v>
      </c>
      <c r="C9" s="20" t="s"/>
      <c r="F9" s="20" t="s"/>
    </row>
    <row r="10" spans="1:28" ht="28" customHeight="true">
      <c r="A10" s="118" t="s"/>
      <c r="B10" s="119" t="s">
        <v>1</v>
      </c>
      <c r="C10" s="119" t="s">
        <v>199</v>
      </c>
      <c r="D10" s="119" t="s">
        <v>200</v>
      </c>
      <c r="E10" s="120" t="s">
        <v>201</v>
      </c>
      <c r="F10" s="119" t="s">
        <v>110</v>
      </c>
      <c r="G10" s="121" t="s">
        <v>19</v>
      </c>
      <c r="H10" s="118" t="s"/>
      <c r="I10" s="118" t="s"/>
      <c r="J10" s="118" t="s"/>
      <c r="K10" s="118" t="s"/>
      <c r="L10" s="118" t="s"/>
      <c r="M10" s="118" t="s"/>
      <c r="N10" s="118" t="s"/>
      <c r="O10" s="118" t="s"/>
      <c r="P10" s="118" t="s"/>
      <c r="Q10" s="118" t="s"/>
      <c r="R10" s="118" t="s"/>
      <c r="S10" s="118" t="s"/>
      <c r="T10" s="118" t="s"/>
      <c r="U10" s="118" t="s"/>
      <c r="V10" s="118" t="s"/>
      <c r="W10" s="118" t="s"/>
      <c r="X10" s="118" t="s"/>
      <c r="Y10" s="118" t="s"/>
      <c r="Z10" s="118" t="s"/>
      <c r="AA10" s="118" t="s"/>
      <c r="AB10" s="118" t="s"/>
    </row>
    <row r="11" spans="2:6">
      <c r="B11" s="96">
        <v>1</v>
      </c>
      <c r="C11" s="91" t="s">
        <v>202</v>
      </c>
      <c r="D11" s="59" t="s">
        <v>203</v>
      </c>
      <c r="E11" s="59" t="s">
        <v>204</v>
      </c>
      <c r="F11" s="91" t="s">
        <v>205</v>
      </c>
    </row>
    <row r="12" spans="2:6">
      <c r="B12" s="96">
        <v>2</v>
      </c>
      <c r="C12" s="91" t="s">
        <v>20</v>
      </c>
      <c r="D12" s="59" t="s">
        <v>206</v>
      </c>
      <c r="E12" s="59" t="s">
        <v>207</v>
      </c>
      <c r="F12" s="91" t="s">
        <v>205</v>
      </c>
    </row>
    <row r="13" spans="2:6">
      <c r="B13" s="96">
        <v>3</v>
      </c>
      <c r="C13" s="91" t="s">
        <v>196</v>
      </c>
      <c r="D13" s="59" t="s">
        <v>208</v>
      </c>
      <c r="E13" s="59" t="s">
        <v>502</v>
      </c>
      <c r="F13" s="91" t="s">
        <v>205</v>
      </c>
    </row>
    <row r="14" spans="2:6">
      <c r="B14" s="96">
        <v>4</v>
      </c>
      <c r="C14" s="91" t="s">
        <v>209</v>
      </c>
      <c r="D14" s="122" t="s">
        <v>503</v>
      </c>
      <c r="E14" s="59" t="s">
        <v>210</v>
      </c>
      <c r="F14" s="91" t="s">
        <v>205</v>
      </c>
    </row>
    <row r="15" spans="2:6">
      <c r="B15" s="96">
        <v>5</v>
      </c>
      <c r="C15" s="91" t="s">
        <v>209</v>
      </c>
      <c r="D15" s="59" t="s">
        <v>211</v>
      </c>
      <c r="E15" s="71" t="s">
        <v>212</v>
      </c>
      <c r="F15" s="91" t="s">
        <v>205</v>
      </c>
    </row>
    <row r="16" spans="2:6">
      <c r="B16" s="96">
        <v>6</v>
      </c>
      <c r="C16" s="91" t="s">
        <v>213</v>
      </c>
      <c r="D16" s="59" t="s">
        <v>214</v>
      </c>
      <c r="F16" s="91" t="s">
        <v>205</v>
      </c>
    </row>
    <row r="17" spans="2:6">
      <c r="B17" s="96">
        <v>7</v>
      </c>
      <c r="C17" s="91" t="s">
        <v>213</v>
      </c>
      <c r="D17" s="59" t="s">
        <v>215</v>
      </c>
      <c r="E17" s="71" t="s">
        <v>216</v>
      </c>
      <c r="F17" s="91" t="s">
        <v>205</v>
      </c>
    </row>
    <row r="18" spans="2:6">
      <c r="B18" s="96">
        <v>8</v>
      </c>
      <c r="C18" s="91" t="s">
        <v>217</v>
      </c>
      <c r="D18" s="71" t="s">
        <v>218</v>
      </c>
      <c r="E18" s="59" t="s">
        <v>504</v>
      </c>
      <c r="F18" s="91" t="s">
        <v>205</v>
      </c>
    </row>
    <row r="19" spans="2:6">
      <c r="B19" s="20" t="s"/>
      <c r="C19" s="20" t="s"/>
      <c r="F19" s="20" t="s"/>
    </row>
    <row r="20" spans="2:6" customHeight="false">
      <c r="B20" s="20" t="s"/>
      <c r="F20" s="20" t="s"/>
    </row>
    <row r="21" spans="2:6" customHeight="false">
      <c r="B21" s="20" t="s"/>
      <c r="F21" s="20" t="s"/>
    </row>
    <row r="22" spans="2:6" customHeight="false">
      <c r="B22" s="20" t="s"/>
      <c r="F22" s="20" t="s"/>
    </row>
    <row r="23" spans="2:6" customHeight="false">
      <c r="B23" s="20" t="s"/>
      <c r="F23" s="20" t="s"/>
    </row>
    <row r="24" spans="2:6" customHeight="false">
      <c r="B24" s="20" t="s"/>
      <c r="F24" s="20" t="s"/>
    </row>
    <row r="25" spans="2:6" customHeight="false">
      <c r="B25" s="20" t="s"/>
      <c r="F25" s="20" t="s"/>
    </row>
    <row r="26" spans="2:6">
      <c r="B26" s="20" t="s"/>
      <c r="C26" s="20" t="s"/>
      <c r="F26" s="20" t="s"/>
    </row>
    <row r="27" spans="2:6">
      <c r="B27" s="20" t="s"/>
      <c r="C27" s="20" t="s"/>
      <c r="F27" s="20" t="s"/>
    </row>
    <row r="28" spans="2:6">
      <c r="B28" s="20" t="s"/>
      <c r="C28" s="20" t="s"/>
      <c r="F28" s="20" t="s"/>
    </row>
    <row r="29" spans="2:6">
      <c r="B29" s="20" t="s"/>
      <c r="C29" s="20" t="s"/>
      <c r="F29" s="20" t="s"/>
    </row>
    <row r="30" spans="2:6">
      <c r="B30" s="20" t="s"/>
      <c r="C30" s="20" t="s"/>
      <c r="F30" s="20" t="s"/>
    </row>
    <row r="31" spans="2:6">
      <c r="B31" s="20" t="s"/>
      <c r="C31" s="20" t="s"/>
      <c r="F31" s="20" t="s"/>
    </row>
    <row r="32" spans="2:6">
      <c r="B32" s="20" t="s"/>
      <c r="C32" s="20" t="s"/>
      <c r="F32" s="20" t="s"/>
    </row>
    <row r="33" spans="2:6">
      <c r="B33" s="20" t="s"/>
      <c r="C33" s="20" t="s"/>
      <c r="F33" s="20" t="s"/>
    </row>
    <row r="34" spans="2:6">
      <c r="B34" s="20" t="s"/>
      <c r="C34" s="20" t="s"/>
      <c r="F34" s="20" t="s"/>
    </row>
    <row r="35" spans="2:6">
      <c r="B35" s="20" t="s"/>
      <c r="C35" s="20" t="s"/>
      <c r="F35" s="20" t="s"/>
    </row>
    <row r="36" spans="2:6">
      <c r="B36" s="20" t="s"/>
      <c r="C36" s="20" t="s"/>
      <c r="F36" s="20" t="s"/>
    </row>
    <row r="37" spans="2:6">
      <c r="B37" s="20" t="s"/>
      <c r="C37" s="20" t="s"/>
      <c r="F37" s="20" t="s"/>
    </row>
    <row r="38" spans="2:6">
      <c r="B38" s="20" t="s"/>
      <c r="C38" s="20" t="s"/>
      <c r="F38" s="20" t="s"/>
    </row>
    <row r="39" spans="2:6">
      <c r="B39" s="20" t="s"/>
      <c r="C39" s="20" t="s"/>
      <c r="F39" s="20" t="s"/>
    </row>
    <row r="40" spans="2:6">
      <c r="B40" s="20" t="s"/>
      <c r="C40" s="20" t="s"/>
      <c r="F40" s="20" t="s"/>
    </row>
    <row r="41" spans="2:6">
      <c r="B41" s="20" t="s"/>
      <c r="C41" s="20" t="s"/>
      <c r="F41" s="20" t="s"/>
    </row>
    <row r="42" spans="2:6">
      <c r="B42" s="20" t="s"/>
      <c r="C42" s="20" t="s"/>
      <c r="F42" s="20" t="s"/>
    </row>
    <row r="43" spans="2:6">
      <c r="B43" s="20" t="s"/>
      <c r="C43" s="20" t="s"/>
      <c r="F43" s="20" t="s"/>
    </row>
    <row r="44" spans="2:6">
      <c r="B44" s="20" t="s"/>
      <c r="C44" s="20" t="s"/>
      <c r="F44" s="20" t="s"/>
    </row>
    <row r="45" spans="2:6">
      <c r="B45" s="20" t="s"/>
      <c r="C45" s="20" t="s"/>
      <c r="F45" s="20" t="s"/>
    </row>
    <row r="46" spans="2:6">
      <c r="B46" s="20" t="s"/>
      <c r="C46" s="20" t="s"/>
      <c r="F46" s="20" t="s"/>
    </row>
    <row r="47" spans="2:6">
      <c r="B47" s="20" t="s"/>
      <c r="C47" s="20" t="s"/>
      <c r="F47" s="20" t="s"/>
    </row>
    <row r="48" spans="2:6">
      <c r="B48" s="20" t="s"/>
      <c r="C48" s="20" t="s"/>
      <c r="F48" s="20" t="s"/>
    </row>
    <row r="49" spans="2:6">
      <c r="B49" s="20" t="s"/>
      <c r="C49" s="20" t="s"/>
      <c r="F49" s="20" t="s"/>
    </row>
    <row r="50" spans="2:6">
      <c r="B50" s="20" t="s"/>
      <c r="C50" s="20" t="s"/>
      <c r="F50" s="20" t="s"/>
    </row>
    <row r="51" spans="2:6">
      <c r="B51" s="20" t="s"/>
      <c r="C51" s="20" t="s"/>
      <c r="F51" s="20" t="s"/>
    </row>
    <row r="52" spans="2:6">
      <c r="B52" s="20" t="s"/>
      <c r="C52" s="20" t="s"/>
      <c r="F52" s="20" t="s"/>
    </row>
    <row r="53" spans="2:6">
      <c r="B53" s="20" t="s"/>
      <c r="C53" s="20" t="s"/>
      <c r="F53" s="20" t="s"/>
    </row>
    <row r="54" spans="2:6">
      <c r="B54" s="20" t="s"/>
      <c r="C54" s="20" t="s"/>
      <c r="F54" s="20" t="s"/>
    </row>
    <row r="55" spans="2:6">
      <c r="B55" s="20" t="s"/>
      <c r="C55" s="20" t="s"/>
      <c r="F55" s="20" t="s"/>
    </row>
    <row r="56" spans="2:6">
      <c r="B56" s="20" t="s"/>
      <c r="C56" s="20" t="s"/>
      <c r="F56" s="20" t="s"/>
    </row>
    <row r="57" spans="2:6">
      <c r="B57" s="20" t="s"/>
      <c r="C57" s="20" t="s"/>
      <c r="F57" s="20" t="s"/>
    </row>
    <row r="58" spans="2:6">
      <c r="B58" s="20" t="s"/>
      <c r="C58" s="20" t="s"/>
      <c r="F58" s="20" t="s"/>
    </row>
    <row r="59" spans="2:6">
      <c r="B59" s="20" t="s"/>
      <c r="C59" s="20" t="s"/>
      <c r="F59" s="20" t="s"/>
    </row>
    <row r="60" spans="2:6">
      <c r="B60" s="20" t="s"/>
      <c r="C60" s="20" t="s"/>
      <c r="F60" s="20" t="s"/>
    </row>
    <row r="61" spans="2:6">
      <c r="B61" s="20" t="s"/>
      <c r="C61" s="20" t="s"/>
      <c r="F61" s="20" t="s"/>
    </row>
    <row r="62" spans="2:6">
      <c r="B62" s="20" t="s"/>
      <c r="C62" s="20" t="s"/>
      <c r="F62" s="20" t="s"/>
    </row>
    <row r="63" spans="2:6">
      <c r="B63" s="20" t="s"/>
      <c r="C63" s="20" t="s"/>
      <c r="F63" s="20" t="s"/>
    </row>
    <row r="64" spans="2:6">
      <c r="B64" s="20" t="s"/>
      <c r="C64" s="20" t="s"/>
      <c r="F64" s="20" t="s"/>
    </row>
    <row r="65" spans="2:6">
      <c r="B65" s="20" t="s"/>
      <c r="C65" s="20" t="s"/>
      <c r="F65" s="20" t="s"/>
    </row>
    <row r="66" spans="2:6">
      <c r="B66" s="20" t="s"/>
      <c r="C66" s="20" t="s"/>
      <c r="F66" s="20" t="s"/>
    </row>
    <row r="67" spans="2:6">
      <c r="B67" s="20" t="s"/>
      <c r="C67" s="20" t="s"/>
      <c r="F67" s="20" t="s"/>
    </row>
    <row r="68" spans="2:6">
      <c r="B68" s="20" t="s"/>
      <c r="C68" s="20" t="s"/>
      <c r="F68" s="20" t="s"/>
    </row>
    <row r="69" spans="2:6">
      <c r="B69" s="20" t="s"/>
      <c r="C69" s="20" t="s"/>
      <c r="F69" s="20" t="s"/>
    </row>
    <row r="70" spans="2:6">
      <c r="B70" s="20" t="s"/>
      <c r="C70" s="20" t="s"/>
      <c r="F70" s="20" t="s"/>
    </row>
    <row r="71" spans="2:6">
      <c r="B71" s="20" t="s"/>
      <c r="C71" s="20" t="s"/>
      <c r="F71" s="20" t="s"/>
    </row>
    <row r="72" spans="2:6">
      <c r="B72" s="20" t="s"/>
      <c r="C72" s="20" t="s"/>
      <c r="F72" s="20" t="s"/>
    </row>
    <row r="73" spans="2:6">
      <c r="B73" s="20" t="s"/>
      <c r="C73" s="20" t="s"/>
      <c r="F73" s="20" t="s"/>
    </row>
    <row r="74" spans="2:6">
      <c r="B74" s="20" t="s"/>
      <c r="C74" s="20" t="s"/>
      <c r="F74" s="20" t="s"/>
    </row>
    <row r="75" spans="2:6">
      <c r="B75" s="20" t="s"/>
      <c r="C75" s="20" t="s"/>
      <c r="F75" s="20" t="s"/>
    </row>
    <row r="76" spans="2:6">
      <c r="B76" s="20" t="s"/>
      <c r="C76" s="20" t="s"/>
      <c r="F76" s="20" t="s"/>
    </row>
    <row r="77" spans="2:6">
      <c r="B77" s="20" t="s"/>
      <c r="C77" s="20" t="s"/>
      <c r="F77" s="20" t="s"/>
    </row>
    <row r="78" spans="2:6">
      <c r="B78" s="20" t="s"/>
      <c r="C78" s="20" t="s"/>
      <c r="F78" s="20" t="s"/>
    </row>
    <row r="79" spans="2:6">
      <c r="B79" s="20" t="s"/>
      <c r="C79" s="20" t="s"/>
      <c r="F79" s="20" t="s"/>
    </row>
    <row r="80" spans="2:6">
      <c r="B80" s="20" t="s"/>
      <c r="C80" s="20" t="s"/>
      <c r="F80" s="20" t="s"/>
    </row>
    <row r="81" spans="2:6">
      <c r="B81" s="20" t="s"/>
      <c r="C81" s="20" t="s"/>
      <c r="F81" s="20" t="s"/>
    </row>
    <row r="82" spans="2:6">
      <c r="B82" s="20" t="s"/>
      <c r="C82" s="20" t="s"/>
      <c r="F82" s="20" t="s"/>
    </row>
    <row r="83" spans="2:6">
      <c r="B83" s="20" t="s"/>
      <c r="C83" s="20" t="s"/>
      <c r="F83" s="20" t="s"/>
    </row>
    <row r="84" spans="2:6">
      <c r="B84" s="20" t="s"/>
      <c r="C84" s="20" t="s"/>
      <c r="F84" s="20" t="s"/>
    </row>
    <row r="85" spans="2:6">
      <c r="B85" s="20" t="s"/>
      <c r="C85" s="20" t="s"/>
      <c r="F85" s="20" t="s"/>
    </row>
    <row r="86" spans="2:6">
      <c r="B86" s="20" t="s"/>
      <c r="C86" s="20" t="s"/>
      <c r="F86" s="20" t="s"/>
    </row>
    <row r="87" spans="2:6">
      <c r="B87" s="20" t="s"/>
      <c r="C87" s="20" t="s"/>
      <c r="F87" s="20" t="s"/>
    </row>
    <row r="88" spans="2:6">
      <c r="B88" s="20" t="s"/>
      <c r="C88" s="20" t="s"/>
      <c r="F88" s="20" t="s"/>
    </row>
    <row r="89" spans="2:6">
      <c r="B89" s="20" t="s"/>
      <c r="C89" s="20" t="s"/>
      <c r="F89" s="20" t="s"/>
    </row>
    <row r="90" spans="2:6">
      <c r="B90" s="20" t="s"/>
      <c r="C90" s="20" t="s"/>
      <c r="F90" s="20" t="s"/>
    </row>
    <row r="91" spans="2:6">
      <c r="B91" s="20" t="s"/>
      <c r="C91" s="20" t="s"/>
      <c r="F91" s="20" t="s"/>
    </row>
    <row r="92" spans="2:6">
      <c r="B92" s="20" t="s"/>
      <c r="C92" s="20" t="s"/>
      <c r="F92" s="20" t="s"/>
    </row>
    <row r="93" spans="2:6">
      <c r="B93" s="20" t="s"/>
      <c r="C93" s="20" t="s"/>
      <c r="F93" s="20" t="s"/>
    </row>
    <row r="94" spans="2:6">
      <c r="B94" s="20" t="s"/>
      <c r="C94" s="20" t="s"/>
      <c r="F94" s="20" t="s"/>
    </row>
    <row r="95" spans="2:6">
      <c r="B95" s="20" t="s"/>
      <c r="C95" s="20" t="s"/>
      <c r="F95" s="20" t="s"/>
    </row>
    <row r="96" spans="2:6">
      <c r="B96" s="20" t="s"/>
      <c r="C96" s="20" t="s"/>
      <c r="F96" s="20" t="s"/>
    </row>
    <row r="97" spans="2:6">
      <c r="B97" s="20" t="s"/>
      <c r="C97" s="20" t="s"/>
      <c r="F97" s="20" t="s"/>
    </row>
    <row r="98" spans="2:6">
      <c r="B98" s="20" t="s"/>
      <c r="C98" s="20" t="s"/>
      <c r="F98" s="20" t="s"/>
    </row>
    <row r="99" spans="2:6">
      <c r="B99" s="20" t="s"/>
      <c r="C99" s="20" t="s"/>
      <c r="F99" s="20" t="s"/>
    </row>
    <row r="100" spans="2:6">
      <c r="B100" s="20" t="s"/>
      <c r="C100" s="20" t="s"/>
      <c r="F100" s="20" t="s"/>
    </row>
    <row r="101" spans="2:6">
      <c r="B101" s="20" t="s"/>
      <c r="C101" s="20" t="s"/>
      <c r="F101" s="20" t="s"/>
    </row>
    <row r="102" spans="2:6">
      <c r="B102" s="20" t="s"/>
      <c r="C102" s="20" t="s"/>
      <c r="F102" s="20" t="s"/>
    </row>
    <row r="103" spans="2:6">
      <c r="B103" s="20" t="s"/>
      <c r="C103" s="20" t="s"/>
      <c r="F103" s="20" t="s"/>
    </row>
    <row r="104" spans="2:6">
      <c r="B104" s="20" t="s"/>
      <c r="C104" s="20" t="s"/>
      <c r="F104" s="20" t="s"/>
    </row>
    <row r="105" spans="2:6">
      <c r="B105" s="20" t="s"/>
      <c r="C105" s="20" t="s"/>
      <c r="F105" s="20" t="s"/>
    </row>
    <row r="106" spans="2:6">
      <c r="B106" s="20" t="s"/>
      <c r="C106" s="20" t="s"/>
      <c r="F106" s="20" t="s"/>
    </row>
    <row r="107" spans="2:6">
      <c r="B107" s="20" t="s"/>
      <c r="C107" s="20" t="s"/>
      <c r="F107" s="20" t="s"/>
    </row>
    <row r="108" spans="2:6">
      <c r="B108" s="20" t="s"/>
      <c r="C108" s="20" t="s"/>
      <c r="F108" s="20" t="s"/>
    </row>
    <row r="109" spans="2:6">
      <c r="B109" s="20" t="s"/>
      <c r="C109" s="20" t="s"/>
      <c r="F109" s="20" t="s"/>
    </row>
    <row r="110" spans="2:6">
      <c r="B110" s="20" t="s"/>
      <c r="C110" s="20" t="s"/>
      <c r="F110" s="20" t="s"/>
    </row>
    <row r="111" spans="2:6">
      <c r="B111" s="20" t="s"/>
      <c r="C111" s="20" t="s"/>
      <c r="F111" s="20" t="s"/>
    </row>
    <row r="112" spans="2:6">
      <c r="B112" s="20" t="s"/>
      <c r="C112" s="20" t="s"/>
      <c r="F112" s="20" t="s"/>
    </row>
    <row r="113" spans="2:6">
      <c r="B113" s="20" t="s"/>
      <c r="C113" s="20" t="s"/>
      <c r="F113" s="20" t="s"/>
    </row>
    <row r="114" spans="2:6">
      <c r="B114" s="20" t="s"/>
      <c r="C114" s="20" t="s"/>
      <c r="F114" s="20" t="s"/>
    </row>
    <row r="115" spans="2:6">
      <c r="B115" s="20" t="s"/>
      <c r="C115" s="20" t="s"/>
      <c r="F115" s="20" t="s"/>
    </row>
    <row r="116" spans="2:6">
      <c r="B116" s="20" t="s"/>
      <c r="C116" s="20" t="s"/>
      <c r="F116" s="20" t="s"/>
    </row>
    <row r="117" spans="2:6">
      <c r="B117" s="20" t="s"/>
      <c r="C117" s="20" t="s"/>
      <c r="F117" s="20" t="s"/>
    </row>
    <row r="118" spans="2:6">
      <c r="B118" s="20" t="s"/>
      <c r="C118" s="20" t="s"/>
      <c r="F118" s="20" t="s"/>
    </row>
    <row r="119" spans="2:6">
      <c r="B119" s="20" t="s"/>
      <c r="C119" s="20" t="s"/>
      <c r="F119" s="20" t="s"/>
    </row>
    <row r="120" spans="2:6">
      <c r="B120" s="20" t="s"/>
      <c r="C120" s="20" t="s"/>
      <c r="F120" s="20" t="s"/>
    </row>
    <row r="121" spans="2:6">
      <c r="B121" s="20" t="s"/>
      <c r="C121" s="20" t="s"/>
      <c r="F121" s="20" t="s"/>
    </row>
    <row r="122" spans="2:6">
      <c r="B122" s="20" t="s"/>
      <c r="C122" s="20" t="s"/>
      <c r="F122" s="20" t="s"/>
    </row>
    <row r="123" spans="2:6">
      <c r="B123" s="20" t="s"/>
      <c r="C123" s="20" t="s"/>
      <c r="F123" s="20" t="s"/>
    </row>
    <row r="124" spans="2:6">
      <c r="B124" s="20" t="s"/>
      <c r="C124" s="20" t="s"/>
      <c r="F124" s="20" t="s"/>
    </row>
    <row r="125" spans="2:6">
      <c r="B125" s="20" t="s"/>
      <c r="C125" s="20" t="s"/>
      <c r="F125" s="20" t="s"/>
    </row>
    <row r="126" spans="2:6">
      <c r="B126" s="20" t="s"/>
      <c r="C126" s="20" t="s"/>
      <c r="F126" s="20" t="s"/>
    </row>
    <row r="127" spans="2:6">
      <c r="B127" s="20" t="s"/>
      <c r="C127" s="20" t="s"/>
      <c r="F127" s="20" t="s"/>
    </row>
    <row r="128" spans="2:6">
      <c r="B128" s="20" t="s"/>
      <c r="C128" s="20" t="s"/>
      <c r="F128" s="20" t="s"/>
    </row>
    <row r="129" spans="2:6">
      <c r="B129" s="20" t="s"/>
      <c r="C129" s="20" t="s"/>
      <c r="F129" s="20" t="s"/>
    </row>
    <row r="130" spans="2:6">
      <c r="B130" s="20" t="s"/>
      <c r="C130" s="20" t="s"/>
      <c r="F130" s="20" t="s"/>
    </row>
    <row r="131" spans="2:6">
      <c r="B131" s="20" t="s"/>
      <c r="C131" s="20" t="s"/>
      <c r="F131" s="20" t="s"/>
    </row>
    <row r="132" spans="2:6">
      <c r="B132" s="20" t="s"/>
      <c r="C132" s="20" t="s"/>
      <c r="F132" s="20" t="s"/>
    </row>
    <row r="133" spans="2:6">
      <c r="B133" s="20" t="s"/>
      <c r="C133" s="20" t="s"/>
      <c r="F133" s="20" t="s"/>
    </row>
    <row r="134" spans="2:6">
      <c r="B134" s="20" t="s"/>
      <c r="C134" s="20" t="s"/>
      <c r="F134" s="20" t="s"/>
    </row>
    <row r="135" spans="2:6">
      <c r="B135" s="20" t="s"/>
      <c r="C135" s="20" t="s"/>
      <c r="F135" s="20" t="s"/>
    </row>
    <row r="136" spans="2:6">
      <c r="B136" s="20" t="s"/>
      <c r="C136" s="20" t="s"/>
      <c r="F136" s="20" t="s"/>
    </row>
    <row r="137" spans="2:6">
      <c r="B137" s="20" t="s"/>
      <c r="C137" s="20" t="s"/>
      <c r="F137" s="20" t="s"/>
    </row>
    <row r="138" spans="2:6">
      <c r="B138" s="20" t="s"/>
      <c r="C138" s="20" t="s"/>
      <c r="F138" s="20" t="s"/>
    </row>
    <row r="139" spans="2:6">
      <c r="B139" s="20" t="s"/>
      <c r="C139" s="20" t="s"/>
      <c r="F139" s="20" t="s"/>
    </row>
    <row r="140" spans="2:6">
      <c r="B140" s="20" t="s"/>
      <c r="C140" s="20" t="s"/>
      <c r="F140" s="20" t="s"/>
    </row>
    <row r="141" spans="2:6">
      <c r="B141" s="20" t="s"/>
      <c r="C141" s="20" t="s"/>
      <c r="F141" s="20" t="s"/>
    </row>
    <row r="142" spans="2:6">
      <c r="B142" s="20" t="s"/>
      <c r="C142" s="20" t="s"/>
      <c r="F142" s="20" t="s"/>
    </row>
    <row r="143" spans="2:6">
      <c r="B143" s="20" t="s"/>
      <c r="C143" s="20" t="s"/>
      <c r="F143" s="20" t="s"/>
    </row>
    <row r="144" spans="2:6">
      <c r="B144" s="20" t="s"/>
      <c r="C144" s="20" t="s"/>
      <c r="F144" s="20" t="s"/>
    </row>
    <row r="145" spans="2:6">
      <c r="B145" s="20" t="s"/>
      <c r="C145" s="20" t="s"/>
      <c r="F145" s="20" t="s"/>
    </row>
    <row r="146" spans="2:6">
      <c r="B146" s="20" t="s"/>
      <c r="C146" s="20" t="s"/>
      <c r="F146" s="20" t="s"/>
    </row>
    <row r="147" spans="2:6">
      <c r="B147" s="20" t="s"/>
      <c r="C147" s="20" t="s"/>
      <c r="F147" s="20" t="s"/>
    </row>
    <row r="148" spans="2:6">
      <c r="B148" s="20" t="s"/>
      <c r="C148" s="20" t="s"/>
      <c r="F148" s="20" t="s"/>
    </row>
    <row r="149" spans="2:6">
      <c r="B149" s="20" t="s"/>
      <c r="C149" s="20" t="s"/>
      <c r="F149" s="20" t="s"/>
    </row>
    <row r="150" spans="2:6">
      <c r="B150" s="20" t="s"/>
      <c r="C150" s="20" t="s"/>
      <c r="F150" s="20" t="s"/>
    </row>
    <row r="151" spans="2:6">
      <c r="B151" s="20" t="s"/>
      <c r="C151" s="20" t="s"/>
      <c r="F151" s="20" t="s"/>
    </row>
    <row r="152" spans="2:6">
      <c r="B152" s="20" t="s"/>
      <c r="C152" s="20" t="s"/>
      <c r="F152" s="20" t="s"/>
    </row>
    <row r="153" spans="2:6">
      <c r="B153" s="20" t="s"/>
      <c r="C153" s="20" t="s"/>
      <c r="F153" s="20" t="s"/>
    </row>
    <row r="154" spans="2:6">
      <c r="B154" s="20" t="s"/>
      <c r="C154" s="20" t="s"/>
      <c r="F154" s="20" t="s"/>
    </row>
    <row r="155" spans="2:6">
      <c r="B155" s="20" t="s"/>
      <c r="C155" s="20" t="s"/>
      <c r="F155" s="20" t="s"/>
    </row>
    <row r="156" spans="2:6">
      <c r="B156" s="20" t="s"/>
      <c r="C156" s="20" t="s"/>
      <c r="F156" s="20" t="s"/>
    </row>
    <row r="157" spans="2:6">
      <c r="B157" s="20" t="s"/>
      <c r="C157" s="20" t="s"/>
      <c r="F157" s="20" t="s"/>
    </row>
    <row r="158" spans="2:6">
      <c r="B158" s="20" t="s"/>
      <c r="C158" s="20" t="s"/>
      <c r="F158" s="20" t="s"/>
    </row>
    <row r="159" spans="2:6">
      <c r="B159" s="20" t="s"/>
      <c r="C159" s="20" t="s"/>
      <c r="F159" s="20" t="s"/>
    </row>
    <row r="160" spans="2:6">
      <c r="B160" s="20" t="s"/>
      <c r="C160" s="20" t="s"/>
      <c r="F160" s="20" t="s"/>
    </row>
    <row r="161" spans="2:6">
      <c r="B161" s="20" t="s"/>
      <c r="C161" s="20" t="s"/>
      <c r="F161" s="20" t="s"/>
    </row>
    <row r="162" spans="2:6">
      <c r="B162" s="20" t="s"/>
      <c r="C162" s="20" t="s"/>
      <c r="F162" s="20" t="s"/>
    </row>
    <row r="163" spans="2:6">
      <c r="B163" s="20" t="s"/>
      <c r="C163" s="20" t="s"/>
      <c r="F163" s="20" t="s"/>
    </row>
    <row r="164" spans="2:6">
      <c r="B164" s="20" t="s"/>
      <c r="C164" s="20" t="s"/>
      <c r="F164" s="20" t="s"/>
    </row>
    <row r="165" spans="2:6">
      <c r="B165" s="20" t="s"/>
      <c r="C165" s="20" t="s"/>
      <c r="F165" s="20" t="s"/>
    </row>
    <row r="166" spans="2:6">
      <c r="B166" s="20" t="s"/>
      <c r="C166" s="20" t="s"/>
      <c r="F166" s="20" t="s"/>
    </row>
    <row r="167" spans="2:6">
      <c r="B167" s="20" t="s"/>
      <c r="C167" s="20" t="s"/>
      <c r="F167" s="20" t="s"/>
    </row>
    <row r="168" spans="2:6">
      <c r="B168" s="20" t="s"/>
      <c r="C168" s="20" t="s"/>
      <c r="F168" s="20" t="s"/>
    </row>
    <row r="169" spans="2:6">
      <c r="B169" s="20" t="s"/>
      <c r="C169" s="20" t="s"/>
      <c r="F169" s="20" t="s"/>
    </row>
    <row r="170" spans="2:6">
      <c r="B170" s="20" t="s"/>
      <c r="C170" s="20" t="s"/>
      <c r="F170" s="20" t="s"/>
    </row>
    <row r="171" spans="2:6">
      <c r="B171" s="20" t="s"/>
      <c r="C171" s="20" t="s"/>
      <c r="F171" s="20" t="s"/>
    </row>
    <row r="172" spans="2:6">
      <c r="B172" s="20" t="s"/>
      <c r="C172" s="20" t="s"/>
      <c r="F172" s="20" t="s"/>
    </row>
    <row r="173" spans="2:6">
      <c r="B173" s="20" t="s"/>
      <c r="C173" s="20" t="s"/>
      <c r="F173" s="20" t="s"/>
    </row>
    <row r="174" spans="2:6">
      <c r="B174" s="20" t="s"/>
      <c r="C174" s="20" t="s"/>
      <c r="F174" s="20" t="s"/>
    </row>
    <row r="175" spans="2:6">
      <c r="B175" s="20" t="s"/>
      <c r="C175" s="20" t="s"/>
      <c r="F175" s="20" t="s"/>
    </row>
    <row r="176" spans="2:6">
      <c r="B176" s="20" t="s"/>
      <c r="C176" s="20" t="s"/>
      <c r="F176" s="20" t="s"/>
    </row>
    <row r="177" spans="2:6">
      <c r="B177" s="20" t="s"/>
      <c r="C177" s="20" t="s"/>
      <c r="F177" s="20" t="s"/>
    </row>
    <row r="178" spans="2:6">
      <c r="B178" s="20" t="s"/>
      <c r="C178" s="20" t="s"/>
      <c r="F178" s="20" t="s"/>
    </row>
    <row r="179" spans="2:6">
      <c r="B179" s="20" t="s"/>
      <c r="C179" s="20" t="s"/>
      <c r="F179" s="20" t="s"/>
    </row>
    <row r="180" spans="2:6">
      <c r="B180" s="20" t="s"/>
      <c r="C180" s="20" t="s"/>
      <c r="F180" s="20" t="s"/>
    </row>
    <row r="181" spans="2:6">
      <c r="B181" s="20" t="s"/>
      <c r="C181" s="20" t="s"/>
      <c r="F181" s="20" t="s"/>
    </row>
    <row r="182" spans="2:6">
      <c r="B182" s="20" t="s"/>
      <c r="C182" s="20" t="s"/>
      <c r="F182" s="20" t="s"/>
    </row>
    <row r="183" spans="2:6">
      <c r="B183" s="20" t="s"/>
      <c r="C183" s="20" t="s"/>
      <c r="F183" s="20" t="s"/>
    </row>
    <row r="184" spans="2:6">
      <c r="B184" s="20" t="s"/>
      <c r="C184" s="20" t="s"/>
      <c r="F184" s="20" t="s"/>
    </row>
    <row r="185" spans="2:6">
      <c r="B185" s="20" t="s"/>
      <c r="C185" s="20" t="s"/>
      <c r="F185" s="20" t="s"/>
    </row>
    <row r="186" spans="2:6">
      <c r="B186" s="20" t="s"/>
      <c r="C186" s="20" t="s"/>
      <c r="F186" s="20" t="s"/>
    </row>
    <row r="187" spans="2:6">
      <c r="B187" s="20" t="s"/>
      <c r="C187" s="20" t="s"/>
      <c r="F187" s="20" t="s"/>
    </row>
    <row r="188" spans="2:6">
      <c r="B188" s="20" t="s"/>
      <c r="C188" s="20" t="s"/>
      <c r="F188" s="20" t="s"/>
    </row>
    <row r="189" spans="2:6">
      <c r="B189" s="20" t="s"/>
      <c r="C189" s="20" t="s"/>
      <c r="F189" s="20" t="s"/>
    </row>
    <row r="190" spans="2:6">
      <c r="B190" s="20" t="s"/>
      <c r="C190" s="20" t="s"/>
      <c r="F190" s="20" t="s"/>
    </row>
    <row r="191" spans="2:6">
      <c r="B191" s="20" t="s"/>
      <c r="C191" s="20" t="s"/>
      <c r="F191" s="20" t="s"/>
    </row>
    <row r="192" spans="2:6">
      <c r="B192" s="20" t="s"/>
      <c r="C192" s="20" t="s"/>
      <c r="F192" s="20" t="s"/>
    </row>
    <row r="193" spans="2:6">
      <c r="B193" s="20" t="s"/>
      <c r="C193" s="20" t="s"/>
      <c r="F193" s="20" t="s"/>
    </row>
    <row r="194" spans="2:6">
      <c r="B194" s="20" t="s"/>
      <c r="C194" s="20" t="s"/>
      <c r="F194" s="20" t="s"/>
    </row>
    <row r="195" spans="2:6">
      <c r="B195" s="20" t="s"/>
      <c r="C195" s="20" t="s"/>
      <c r="F195" s="20" t="s"/>
    </row>
    <row r="196" spans="2:6">
      <c r="B196" s="20" t="s"/>
      <c r="C196" s="20" t="s"/>
      <c r="F196" s="20" t="s"/>
    </row>
    <row r="197" spans="2:6">
      <c r="B197" s="20" t="s"/>
      <c r="C197" s="20" t="s"/>
      <c r="F197" s="20" t="s"/>
    </row>
    <row r="198" spans="2:6">
      <c r="B198" s="20" t="s"/>
      <c r="C198" s="20" t="s"/>
      <c r="F198" s="20" t="s"/>
    </row>
    <row r="199" spans="2:6">
      <c r="B199" s="20" t="s"/>
      <c r="C199" s="20" t="s"/>
      <c r="F199" s="20" t="s"/>
    </row>
    <row r="200" spans="2:6">
      <c r="B200" s="20" t="s"/>
      <c r="C200" s="20" t="s"/>
      <c r="F200" s="20" t="s"/>
    </row>
    <row r="201" spans="2:6">
      <c r="B201" s="20" t="s"/>
      <c r="C201" s="20" t="s"/>
      <c r="F201" s="20" t="s"/>
    </row>
    <row r="202" spans="2:6">
      <c r="B202" s="20" t="s"/>
      <c r="C202" s="20" t="s"/>
      <c r="F202" s="20" t="s"/>
    </row>
    <row r="203" spans="2:6">
      <c r="B203" s="20" t="s"/>
      <c r="C203" s="20" t="s"/>
      <c r="F203" s="20" t="s"/>
    </row>
    <row r="204" spans="2:6">
      <c r="B204" s="20" t="s"/>
      <c r="C204" s="20" t="s"/>
      <c r="F204" s="20" t="s"/>
    </row>
    <row r="205" spans="2:6">
      <c r="B205" s="20" t="s"/>
      <c r="C205" s="20" t="s"/>
      <c r="F205" s="20" t="s"/>
    </row>
    <row r="206" spans="2:6">
      <c r="B206" s="20" t="s"/>
      <c r="C206" s="20" t="s"/>
      <c r="F206" s="20" t="s"/>
    </row>
    <row r="207" spans="2:6">
      <c r="B207" s="20" t="s"/>
      <c r="C207" s="20" t="s"/>
      <c r="F207" s="20" t="s"/>
    </row>
    <row r="208" spans="2:6">
      <c r="B208" s="20" t="s"/>
      <c r="C208" s="20" t="s"/>
      <c r="F208" s="20" t="s"/>
    </row>
  </sheetData>
</worksheet>
</file>

<file path=xl/worksheets/sheet6.xml><?xml version="1.0" encoding="utf-8"?>
<worksheet xmlns="http://schemas.openxmlformats.org/spreadsheetml/2006/main">
  <sheetPr codeName="备件使用状态">
    <tabColor rgb="FFFFFFFF"/>
  </sheetPr>
  <dimension ref="J244"/>
  <sheetViews>
    <sheetView showGridLines="true" rightToLeft="false" workbookViewId="0">
      <pane xSplit="5" topLeftCell="F1" state="frozen"/>
    </sheetView>
  </sheetViews>
  <cols>
    <col min="2" max="2" width="24.0234" customWidth="true"/>
    <col min="3" max="3" width="22.5312" customWidth="true"/>
    <col min="7" max="10" width="14.9727" customWidth="true"/>
  </cols>
  <sheetData>
    <row r="1" spans="3:10" customHeight="false">
      <c r="C1" s="59" t="s"/>
      <c r="I1" s="20" t="s"/>
      <c r="J1" s="20" t="s"/>
    </row>
    <row r="2" spans="1:10" ht="52" customHeight="true">
      <c r="A2" s="60" t="s">
        <v>56</v>
      </c>
      <c r="B2" s="61" t="s"/>
      <c r="C2" s="61" t="s"/>
      <c r="D2" s="61" t="s"/>
      <c r="E2" s="61" t="s"/>
      <c r="F2" s="62" t="s"/>
      <c r="G2" s="63" t="s"/>
      <c r="H2" s="63" t="s"/>
      <c r="I2" s="43" t="s"/>
      <c r="J2" s="43" t="s"/>
    </row>
    <row r="3" spans="1:10" customHeight="false">
      <c r="A3" s="64" t="s"/>
      <c r="B3" s="65" t="s">
        <v>123</v>
      </c>
      <c r="C3" s="66" t="s">
        <v>124</v>
      </c>
      <c r="D3" s="65" t="s">
        <v>125</v>
      </c>
      <c r="E3" s="65" t="s">
        <v>126</v>
      </c>
      <c r="F3" s="67" t="s">
        <v>127</v>
      </c>
      <c r="G3" s="68">
        <v>45268</v>
      </c>
      <c r="H3" s="69">
        <v>45261</v>
      </c>
      <c r="I3" s="68">
        <v>45233</v>
      </c>
      <c r="J3" s="68">
        <v>45218</v>
      </c>
    </row>
    <row r="4" spans="1:10" customHeight="false">
      <c r="A4" s="70" t="s">
        <v>128</v>
      </c>
      <c r="B4" s="71" t="s">
        <v>129</v>
      </c>
      <c r="C4" s="72" t="s">
        <v>130</v>
      </c>
      <c r="D4" s="73">
        <f>=SUM(G4:J4)-F4</f>
        <v>3</v>
      </c>
      <c r="E4" s="74" t="s"/>
      <c r="F4" s="75" t="s"/>
      <c r="G4" s="76" t="s"/>
      <c r="H4" s="76" t="s"/>
      <c r="I4" s="77">
        <v>3</v>
      </c>
      <c r="J4" s="77" t="s"/>
    </row>
    <row r="5" spans="2:10" customHeight="false">
      <c r="B5" s="71" t="s">
        <v>131</v>
      </c>
      <c r="C5" s="72" t="s">
        <v>132</v>
      </c>
      <c r="D5" s="73">
        <f>=SUM(G5:J5)-F5</f>
        <v>3</v>
      </c>
      <c r="E5" s="74" t="s"/>
      <c r="F5" s="75" t="s"/>
      <c r="G5" s="76" t="s"/>
      <c r="H5" s="76" t="s"/>
      <c r="I5" s="77">
        <v>3</v>
      </c>
      <c r="J5" s="77" t="s"/>
    </row>
    <row r="6" spans="2:10" customHeight="false">
      <c r="B6" s="71" t="s">
        <v>133</v>
      </c>
      <c r="C6" s="59" t="s">
        <v>134</v>
      </c>
      <c r="D6" s="73">
        <f>=SUM(G6:J6)-F6</f>
        <v>2</v>
      </c>
      <c r="E6" s="74" t="s"/>
      <c r="F6" s="75">
        <v>1</v>
      </c>
      <c r="G6" s="76" t="s"/>
      <c r="H6" s="76" t="s"/>
      <c r="I6" s="77">
        <v>3</v>
      </c>
      <c r="J6" s="77" t="s"/>
    </row>
    <row r="7" spans="2:10">
      <c r="B7" s="71" t="s">
        <v>135</v>
      </c>
      <c r="C7" s="59" t="s">
        <v>136</v>
      </c>
      <c r="D7" s="73">
        <f>=SUM(G7:J7)-F7</f>
        <v>2</v>
      </c>
      <c r="E7" s="74" t="s"/>
      <c r="F7" s="75">
        <v>1</v>
      </c>
      <c r="G7" s="76" t="s"/>
      <c r="H7" s="76" t="s"/>
      <c r="I7" s="77">
        <v>3</v>
      </c>
      <c r="J7" s="77" t="s"/>
    </row>
    <row r="8" spans="2:10" customHeight="false">
      <c r="B8" s="71" t="s">
        <v>137</v>
      </c>
      <c r="C8" s="72" t="s">
        <v>138</v>
      </c>
      <c r="D8" s="73">
        <f>=SUM(G8:J8)-F8</f>
        <v>3</v>
      </c>
      <c r="E8" s="74" t="s"/>
      <c r="F8" s="75">
        <v>1</v>
      </c>
      <c r="G8" s="76" t="s"/>
      <c r="H8" s="76" t="s"/>
      <c r="I8" s="77">
        <v>4</v>
      </c>
      <c r="J8" s="77" t="s"/>
    </row>
    <row r="9" spans="2:10" customHeight="false">
      <c r="B9" s="71" t="s">
        <v>139</v>
      </c>
      <c r="C9" s="72" t="s">
        <v>140</v>
      </c>
      <c r="D9" s="73">
        <f>=SUM(G9:J9)-F9</f>
        <v>3</v>
      </c>
      <c r="E9" s="74" t="s"/>
      <c r="F9" s="75" t="s"/>
      <c r="G9" s="76" t="s"/>
      <c r="H9" s="76" t="s"/>
      <c r="I9" s="77">
        <v>3</v>
      </c>
      <c r="J9" s="77" t="s"/>
    </row>
    <row r="10" spans="2:10" ht="37" customHeight="true">
      <c r="B10" s="71" t="s">
        <v>141</v>
      </c>
      <c r="C10" s="72" t="s">
        <v>142</v>
      </c>
      <c r="D10" s="73">
        <f>=SUM(G10:J10)-F10</f>
        <v>2</v>
      </c>
      <c r="E10" s="74" t="s"/>
      <c r="F10" s="75" t="s"/>
      <c r="G10" s="76" t="s"/>
      <c r="H10" s="76" t="s"/>
      <c r="I10" s="77">
        <v>2</v>
      </c>
      <c r="J10" s="77" t="s"/>
    </row>
    <row r="11" spans="2:10" customHeight="false">
      <c r="B11" s="71" t="s">
        <v>143</v>
      </c>
      <c r="C11" s="59" t="s">
        <v>144</v>
      </c>
      <c r="D11" s="73">
        <f>=SUM(G11:J11)-F11</f>
        <v>2</v>
      </c>
      <c r="E11" s="74" t="s"/>
      <c r="F11" s="75" t="s"/>
      <c r="G11" s="76" t="s"/>
      <c r="H11" s="76" t="s"/>
      <c r="I11" s="77">
        <v>2</v>
      </c>
      <c r="J11" s="77" t="s"/>
    </row>
    <row r="12" spans="2:10" customHeight="false">
      <c r="B12" s="71" t="s">
        <v>145</v>
      </c>
      <c r="C12" s="59" t="s">
        <v>146</v>
      </c>
      <c r="D12" s="73">
        <f>=SUM(G12:J12)-F12</f>
        <v>1</v>
      </c>
      <c r="E12" s="74" t="s"/>
      <c r="F12" s="75">
        <v>1</v>
      </c>
      <c r="G12" s="76" t="s"/>
      <c r="H12" s="76" t="s"/>
      <c r="I12" s="77">
        <v>2</v>
      </c>
      <c r="J12" s="77" t="s"/>
    </row>
    <row r="13" spans="2:10" customHeight="false">
      <c r="B13" s="71" t="s">
        <v>147</v>
      </c>
      <c r="C13" s="59" t="s">
        <v>148</v>
      </c>
      <c r="D13" s="73">
        <f>=SUM(G13:J13)-F13</f>
        <v>3</v>
      </c>
      <c r="E13" s="74" t="s"/>
      <c r="F13" s="75" t="s"/>
      <c r="G13" s="76" t="s"/>
      <c r="H13" s="76" t="s"/>
      <c r="I13" s="77">
        <v>3</v>
      </c>
      <c r="J13" s="77" t="s"/>
    </row>
    <row r="14" spans="2:10" customHeight="false">
      <c r="B14" s="71" t="s">
        <v>149</v>
      </c>
      <c r="C14" s="59" t="s">
        <v>150</v>
      </c>
      <c r="D14" s="73">
        <f>=SUM(G14:J14)-F14</f>
        <v>2</v>
      </c>
      <c r="E14" s="74" t="s"/>
      <c r="F14" s="75">
        <v>1</v>
      </c>
      <c r="G14" s="76" t="s"/>
      <c r="H14" s="76" t="s"/>
      <c r="I14" s="77">
        <v>3</v>
      </c>
      <c r="J14" s="77" t="s"/>
    </row>
    <row r="15" spans="2:10" customHeight="false">
      <c r="B15" s="71" t="s">
        <v>151</v>
      </c>
      <c r="C15" s="59" t="s">
        <v>152</v>
      </c>
      <c r="D15" s="73">
        <f>=SUM(G15:J15)-F15</f>
        <v>2</v>
      </c>
      <c r="E15" s="74" t="s"/>
      <c r="F15" s="75" t="s"/>
      <c r="G15" s="76" t="s"/>
      <c r="H15" s="76" t="s"/>
      <c r="I15" s="77">
        <v>2</v>
      </c>
      <c r="J15" s="77" t="s"/>
    </row>
    <row r="16" spans="2:10" customHeight="false">
      <c r="B16" s="78" t="s">
        <v>153</v>
      </c>
      <c r="C16" s="79" t="s">
        <v>154</v>
      </c>
      <c r="D16" s="80">
        <f>=SUM(G16:J16)-F16</f>
        <v>2</v>
      </c>
      <c r="E16" s="74" t="s"/>
      <c r="F16" s="81" t="s"/>
      <c r="G16" s="82" t="s"/>
      <c r="H16" s="82" t="s"/>
      <c r="I16" s="83">
        <v>2</v>
      </c>
      <c r="J16" s="84" t="s"/>
    </row>
    <row r="17" spans="2:10">
      <c r="B17" s="71" t="s">
        <v>155</v>
      </c>
      <c r="C17" s="72" t="s"/>
      <c r="D17" s="73">
        <f>=SUM(G17:J17)-F17</f>
        <v>0</v>
      </c>
      <c r="E17" s="74" t="s"/>
      <c r="F17" s="75">
        <v>1</v>
      </c>
      <c r="G17" s="77">
        <v>1</v>
      </c>
      <c r="H17" s="76" t="s"/>
      <c r="I17" s="76" t="s"/>
      <c r="J17" s="77" t="s"/>
    </row>
    <row r="18" spans="2:10">
      <c r="B18" s="71" t="s">
        <v>156</v>
      </c>
      <c r="C18" s="72" t="s"/>
      <c r="D18" s="73">
        <f>=SUM(G18:J18)-F18</f>
        <v>0</v>
      </c>
      <c r="E18" s="74" t="s"/>
      <c r="F18" s="75">
        <v>1</v>
      </c>
      <c r="G18" s="76" t="s"/>
      <c r="H18" s="77">
        <v>1</v>
      </c>
      <c r="I18" s="76" t="s"/>
      <c r="J18" s="77" t="s"/>
    </row>
    <row r="19" spans="2:10">
      <c r="B19" s="72" t="s">
        <v>489</v>
      </c>
      <c r="C19" s="72" t="s"/>
      <c r="D19" s="73">
        <f>=SUM(G19:J19)-F19</f>
        <v>1</v>
      </c>
      <c r="E19" s="74" t="s"/>
      <c r="F19" s="75" t="s"/>
      <c r="G19" s="77">
        <v>1</v>
      </c>
      <c r="H19" s="76" t="s"/>
      <c r="I19" s="76" t="s"/>
      <c r="J19" s="77" t="s"/>
    </row>
    <row r="20" spans="2:10" customHeight="false">
      <c r="B20" s="72" t="s">
        <v>490</v>
      </c>
      <c r="C20" s="72" t="s"/>
      <c r="D20" s="73">
        <f>=SUM(G20:J20)-F20</f>
        <v>1</v>
      </c>
      <c r="E20" s="74" t="s"/>
      <c r="F20" s="75" t="s"/>
      <c r="G20" s="77">
        <v>1</v>
      </c>
      <c r="H20" s="76" t="s"/>
      <c r="I20" s="76" t="s"/>
      <c r="J20" s="77" t="s"/>
    </row>
    <row r="21" spans="1:10">
      <c r="A21" s="38" t="s"/>
      <c r="B21" s="85" t="s">
        <v>491</v>
      </c>
      <c r="C21" s="85" t="s"/>
      <c r="D21" s="86">
        <f>=SUM(G21:J21)-F21</f>
        <v>2</v>
      </c>
      <c r="E21" s="86" t="s"/>
      <c r="F21" s="87" t="s"/>
      <c r="G21" s="88">
        <v>2</v>
      </c>
      <c r="H21" s="89" t="s"/>
      <c r="I21" s="89" t="s"/>
      <c r="J21" s="88" t="s"/>
    </row>
    <row r="22" spans="1:10" customHeight="false">
      <c r="A22" s="59" t="s">
        <v>157</v>
      </c>
      <c r="B22" s="71" t="s">
        <v>158</v>
      </c>
      <c r="C22" s="72" t="s">
        <v>492</v>
      </c>
      <c r="D22" s="74" t="s"/>
      <c r="E22" s="74" t="s"/>
      <c r="F22" s="75" t="s"/>
      <c r="G22" s="76" t="s"/>
      <c r="H22" s="76" t="s"/>
      <c r="I22" s="77">
        <v>3</v>
      </c>
      <c r="J22" s="77" t="s"/>
    </row>
    <row r="23" spans="1:10" customHeight="false">
      <c r="A23" s="31" t="s"/>
      <c r="B23" s="71" t="s">
        <v>159</v>
      </c>
      <c r="C23" s="72" t="s">
        <v>493</v>
      </c>
      <c r="D23" s="74" t="s"/>
      <c r="E23" s="74" t="s"/>
      <c r="F23" s="75" t="s"/>
      <c r="G23" s="76" t="s"/>
      <c r="H23" s="76" t="s"/>
      <c r="I23" s="77">
        <v>3</v>
      </c>
      <c r="J23" s="77" t="s"/>
    </row>
    <row r="24" spans="1:10" customHeight="false">
      <c r="A24" s="31" t="s"/>
      <c r="B24" s="71" t="s">
        <v>160</v>
      </c>
      <c r="C24" s="72" t="s">
        <v>494</v>
      </c>
      <c r="D24" s="74" t="s"/>
      <c r="E24" s="74" t="s"/>
      <c r="F24" s="75" t="s"/>
      <c r="G24" s="76" t="s"/>
      <c r="H24" s="76" t="s"/>
      <c r="I24" s="77">
        <v>2</v>
      </c>
      <c r="J24" s="77" t="s"/>
    </row>
    <row r="25" spans="1:10" customHeight="false">
      <c r="A25" s="31" t="s"/>
      <c r="B25" s="71" t="s">
        <v>161</v>
      </c>
      <c r="C25" s="72" t="s">
        <v>495</v>
      </c>
      <c r="D25" s="74" t="s"/>
      <c r="E25" s="74" t="s"/>
      <c r="F25" s="75" t="s"/>
      <c r="G25" s="76" t="s"/>
      <c r="H25" s="76" t="s"/>
      <c r="I25" s="77">
        <v>2</v>
      </c>
      <c r="J25" s="77" t="s"/>
    </row>
    <row r="26" spans="1:10" customHeight="false">
      <c r="A26" s="31" t="s"/>
      <c r="B26" s="71" t="s">
        <v>131</v>
      </c>
      <c r="C26" s="72" t="s">
        <v>496</v>
      </c>
      <c r="D26" s="74" t="s"/>
      <c r="E26" s="74" t="s"/>
      <c r="F26" s="75" t="s"/>
      <c r="G26" s="76" t="s"/>
      <c r="H26" s="76" t="s"/>
      <c r="I26" s="77">
        <v>2</v>
      </c>
      <c r="J26" s="77" t="s"/>
    </row>
    <row r="27" spans="1:10" customHeight="false">
      <c r="A27" s="34" t="s"/>
      <c r="B27" s="90" t="s">
        <v>162</v>
      </c>
      <c r="C27" s="85" t="s"/>
      <c r="D27" s="86" t="s"/>
      <c r="E27" s="86" t="s"/>
      <c r="F27" s="87" t="s"/>
      <c r="G27" s="89" t="s"/>
      <c r="H27" s="89" t="s"/>
      <c r="I27" s="88">
        <v>2</v>
      </c>
      <c r="J27" s="88" t="s"/>
    </row>
    <row r="28" spans="1:10">
      <c r="A28" s="91" t="s">
        <v>163</v>
      </c>
      <c r="B28" s="92" t="s">
        <v>164</v>
      </c>
      <c r="C28" s="92" t="s">
        <v>165</v>
      </c>
      <c r="D28" s="74" t="s"/>
      <c r="E28" s="74" t="s"/>
      <c r="F28" s="75" t="s"/>
      <c r="G28" s="76" t="s"/>
      <c r="H28" s="76" t="s"/>
      <c r="I28" s="93">
        <v>3</v>
      </c>
      <c r="J28" s="93" t="s"/>
    </row>
    <row r="29" spans="1:10">
      <c r="A29" s="20" t="s"/>
      <c r="B29" s="92" t="s">
        <v>166</v>
      </c>
      <c r="C29" s="92" t="s">
        <v>167</v>
      </c>
      <c r="D29" s="74" t="s"/>
      <c r="E29" s="74" t="s"/>
      <c r="F29" s="75" t="s"/>
      <c r="G29" s="76" t="s"/>
      <c r="H29" s="76" t="s"/>
      <c r="I29" s="93">
        <v>2</v>
      </c>
      <c r="J29" s="93" t="s"/>
    </row>
    <row r="30" spans="1:10">
      <c r="A30" s="20" t="s"/>
      <c r="B30" s="92" t="s">
        <v>168</v>
      </c>
      <c r="C30" s="92" t="s">
        <v>169</v>
      </c>
      <c r="D30" s="74" t="s"/>
      <c r="E30" s="74" t="s"/>
      <c r="F30" s="75" t="s"/>
      <c r="G30" s="76" t="s"/>
      <c r="H30" s="76" t="s"/>
      <c r="I30" s="93">
        <v>2</v>
      </c>
      <c r="J30" s="93" t="s"/>
    </row>
    <row r="31" spans="1:10">
      <c r="A31" s="20" t="s"/>
      <c r="B31" s="92" t="s">
        <v>170</v>
      </c>
      <c r="C31" s="92" t="s">
        <v>171</v>
      </c>
      <c r="D31" s="74" t="s"/>
      <c r="E31" s="74" t="s"/>
      <c r="F31" s="75" t="s"/>
      <c r="G31" s="76" t="s"/>
      <c r="H31" s="76" t="s"/>
      <c r="I31" s="93">
        <v>2</v>
      </c>
      <c r="J31" s="93" t="s"/>
    </row>
    <row r="32" spans="1:10">
      <c r="A32" s="20" t="s"/>
      <c r="B32" s="94" t="s">
        <v>172</v>
      </c>
      <c r="C32" s="94" t="s">
        <v>173</v>
      </c>
      <c r="D32" s="80" t="s"/>
      <c r="E32" s="80" t="s"/>
      <c r="F32" s="81" t="s"/>
      <c r="G32" s="82" t="s"/>
      <c r="H32" s="82" t="s"/>
      <c r="I32" s="95">
        <v>2</v>
      </c>
      <c r="J32" s="95" t="s"/>
    </row>
    <row r="33" spans="1:10">
      <c r="A33" s="33" t="s"/>
      <c r="B33" s="90" t="s">
        <v>174</v>
      </c>
      <c r="C33" s="85" t="s"/>
      <c r="D33" s="86" t="s"/>
      <c r="E33" s="86" t="s"/>
      <c r="F33" s="87" t="s"/>
      <c r="G33" s="89" t="s"/>
      <c r="H33" s="89" t="s"/>
      <c r="I33" s="86" t="s"/>
      <c r="J33" s="88">
        <v>1</v>
      </c>
    </row>
    <row r="34" spans="1:10" ht="52" customHeight="true">
      <c r="A34" s="60" t="s">
        <v>175</v>
      </c>
      <c r="B34" s="61" t="s"/>
      <c r="C34" s="61" t="s"/>
      <c r="D34" s="61" t="s"/>
      <c r="E34" s="61" t="s"/>
      <c r="F34" s="62" t="s"/>
      <c r="G34" s="63" t="s"/>
      <c r="H34" s="63" t="s"/>
      <c r="I34" s="43" t="s"/>
      <c r="J34" s="43" t="s"/>
    </row>
    <row r="35" spans="1:10" customHeight="false">
      <c r="A35" s="64" t="s"/>
      <c r="B35" s="65" t="s">
        <v>123</v>
      </c>
      <c r="C35" s="66" t="s">
        <v>124</v>
      </c>
      <c r="D35" s="65" t="s">
        <v>125</v>
      </c>
      <c r="E35" s="65" t="s">
        <v>126</v>
      </c>
      <c r="F35" s="67" t="s">
        <v>127</v>
      </c>
      <c r="G35" s="68" t="s"/>
      <c r="H35" s="69" t="s"/>
      <c r="I35" s="68" t="s"/>
      <c r="J35" s="68">
        <v>45224</v>
      </c>
    </row>
    <row r="36" spans="1:10" ht="56" customHeight="true">
      <c r="A36" s="70" t="s">
        <v>128</v>
      </c>
      <c r="B36" s="71" t="s">
        <v>129</v>
      </c>
      <c r="C36" s="31" t="s">
        <v>176</v>
      </c>
      <c r="I36" s="20" t="s"/>
      <c r="J36" s="96">
        <v>2</v>
      </c>
    </row>
    <row r="37" spans="2:10">
      <c r="B37" s="71" t="s">
        <v>131</v>
      </c>
      <c r="C37" s="31" t="s">
        <v>132</v>
      </c>
      <c r="I37" s="20" t="s"/>
      <c r="J37" s="96">
        <v>2</v>
      </c>
    </row>
    <row r="38" spans="2:10" ht="37" customHeight="true">
      <c r="B38" s="71" t="s">
        <v>133</v>
      </c>
      <c r="C38" s="59" t="s">
        <v>134</v>
      </c>
      <c r="I38" s="20" t="s"/>
      <c r="J38" s="96">
        <v>2</v>
      </c>
    </row>
    <row r="39" spans="2:10">
      <c r="B39" s="71" t="s">
        <v>135</v>
      </c>
      <c r="C39" s="59" t="s">
        <v>136</v>
      </c>
      <c r="I39" s="20" t="s"/>
      <c r="J39" s="96">
        <v>2</v>
      </c>
    </row>
    <row r="40" spans="2:10" customHeight="false">
      <c r="B40" s="71" t="s">
        <v>137</v>
      </c>
      <c r="C40" s="59" t="s">
        <v>138</v>
      </c>
      <c r="I40" s="20" t="s"/>
      <c r="J40" s="96">
        <v>4</v>
      </c>
    </row>
    <row r="41" spans="2:10" customHeight="false">
      <c r="B41" s="71" t="s">
        <v>139</v>
      </c>
      <c r="C41" s="59" t="s">
        <v>140</v>
      </c>
      <c r="I41" s="20" t="s"/>
      <c r="J41" s="96">
        <v>2</v>
      </c>
    </row>
    <row r="42" spans="2:10" ht="37" customHeight="true">
      <c r="B42" s="71" t="s">
        <v>141</v>
      </c>
      <c r="C42" s="31" t="s">
        <v>142</v>
      </c>
      <c r="I42" s="20" t="s"/>
      <c r="J42" s="96">
        <v>2</v>
      </c>
    </row>
    <row r="43" spans="2:10" customHeight="false">
      <c r="B43" s="71" t="s">
        <v>143</v>
      </c>
      <c r="C43" s="59" t="s">
        <v>144</v>
      </c>
      <c r="I43" s="20" t="s"/>
      <c r="J43" s="96">
        <v>2</v>
      </c>
    </row>
    <row r="44" spans="2:10" customHeight="false">
      <c r="B44" s="71" t="s">
        <v>145</v>
      </c>
      <c r="C44" s="59" t="s">
        <v>146</v>
      </c>
      <c r="I44" s="20" t="s"/>
      <c r="J44" s="96">
        <v>2</v>
      </c>
    </row>
    <row r="45" spans="2:10" customHeight="false">
      <c r="B45" s="97" t="s">
        <v>147</v>
      </c>
      <c r="C45" s="59" t="s">
        <v>148</v>
      </c>
      <c r="I45" s="20" t="s"/>
      <c r="J45" s="96">
        <v>2</v>
      </c>
    </row>
    <row r="46" spans="2:10" customHeight="false">
      <c r="B46" s="97" t="s">
        <v>149</v>
      </c>
      <c r="C46" s="59" t="s">
        <v>150</v>
      </c>
      <c r="I46" s="20" t="s"/>
      <c r="J46" s="96">
        <v>2</v>
      </c>
    </row>
    <row r="47" spans="2:10" customHeight="false">
      <c r="B47" s="97" t="s">
        <v>151</v>
      </c>
      <c r="C47" s="59" t="s">
        <v>152</v>
      </c>
      <c r="I47" s="20" t="s"/>
      <c r="J47" s="96">
        <v>2</v>
      </c>
    </row>
    <row r="48" spans="1:10" customHeight="false">
      <c r="A48" s="38" t="s"/>
      <c r="B48" s="98" t="s">
        <v>153</v>
      </c>
      <c r="C48" s="99" t="s">
        <v>154</v>
      </c>
      <c r="D48" s="33" t="s"/>
      <c r="E48" s="33" t="s"/>
      <c r="F48" s="100" t="s"/>
      <c r="G48" s="38" t="s"/>
      <c r="H48" s="38" t="s"/>
      <c r="I48" s="33" t="s"/>
      <c r="J48" s="101">
        <v>2</v>
      </c>
    </row>
    <row r="49" spans="1:10" ht="52" customHeight="true">
      <c r="A49" s="60" t="s">
        <v>71</v>
      </c>
      <c r="B49" s="61" t="s"/>
      <c r="C49" s="61" t="s"/>
      <c r="D49" s="61" t="s"/>
      <c r="E49" s="61" t="s"/>
      <c r="F49" s="62" t="s"/>
      <c r="G49" s="63" t="s"/>
      <c r="H49" s="63" t="s"/>
      <c r="I49" s="43" t="s"/>
      <c r="J49" s="43" t="s"/>
    </row>
    <row r="50" spans="1:10" customHeight="false">
      <c r="A50" s="64" t="s"/>
      <c r="B50" s="65" t="s">
        <v>123</v>
      </c>
      <c r="C50" s="66" t="s">
        <v>124</v>
      </c>
      <c r="D50" s="65" t="s">
        <v>125</v>
      </c>
      <c r="E50" s="65" t="s">
        <v>126</v>
      </c>
      <c r="F50" s="67" t="s">
        <v>127</v>
      </c>
      <c r="G50" s="68" t="s"/>
      <c r="H50" s="69" t="s"/>
      <c r="I50" s="68" t="s"/>
      <c r="J50" s="68">
        <v>45274</v>
      </c>
    </row>
    <row r="51" spans="1:10" ht="56" customHeight="true">
      <c r="A51" s="70" t="s">
        <v>128</v>
      </c>
      <c r="B51" s="71" t="s">
        <v>177</v>
      </c>
      <c r="C51" s="59" t="s">
        <v>178</v>
      </c>
      <c r="I51" s="20" t="s"/>
      <c r="J51" s="96">
        <v>1</v>
      </c>
    </row>
    <row r="52" spans="2:10" customHeight="false">
      <c r="B52" s="71" t="s">
        <v>179</v>
      </c>
      <c r="C52" s="59" t="s">
        <v>180</v>
      </c>
      <c r="I52" s="20" t="s"/>
      <c r="J52" s="96">
        <v>1</v>
      </c>
    </row>
    <row r="53" spans="1:10" customHeight="false">
      <c r="A53" s="38" t="s"/>
      <c r="B53" s="99" t="s">
        <v>181</v>
      </c>
      <c r="C53" s="38" t="s"/>
      <c r="D53" s="33" t="s"/>
      <c r="E53" s="33" t="s"/>
      <c r="F53" s="100" t="s"/>
      <c r="G53" s="38" t="s"/>
      <c r="H53" s="38" t="s"/>
      <c r="I53" s="33" t="s"/>
      <c r="J53" s="101">
        <v>1</v>
      </c>
    </row>
    <row r="54" spans="1:10" ht="52" customHeight="true">
      <c r="A54" s="60" t="s">
        <v>60</v>
      </c>
      <c r="B54" s="61" t="s"/>
      <c r="C54" s="61" t="s"/>
      <c r="D54" s="61" t="s"/>
      <c r="E54" s="61" t="s"/>
      <c r="F54" s="62" t="s"/>
      <c r="G54" s="63" t="s"/>
      <c r="H54" s="63" t="s"/>
      <c r="I54" s="43" t="s"/>
      <c r="J54" s="43" t="s"/>
    </row>
    <row r="55" spans="1:10" customHeight="false">
      <c r="A55" s="64" t="s"/>
      <c r="B55" s="65" t="s">
        <v>123</v>
      </c>
      <c r="C55" s="66" t="s">
        <v>124</v>
      </c>
      <c r="D55" s="65" t="s">
        <v>125</v>
      </c>
      <c r="E55" s="65" t="s">
        <v>126</v>
      </c>
      <c r="F55" s="67" t="s">
        <v>127</v>
      </c>
      <c r="G55" s="68" t="s"/>
      <c r="H55" s="69" t="s"/>
      <c r="I55" s="68" t="s"/>
      <c r="J55" s="68">
        <v>45274</v>
      </c>
    </row>
    <row r="56" spans="1:10" ht="56" customHeight="true">
      <c r="A56" s="70" t="s">
        <v>128</v>
      </c>
      <c r="C56" s="102" t="s">
        <v>182</v>
      </c>
      <c r="E56" s="20">
        <f>=F56</f>
        <v>0</v>
      </c>
      <c r="I56" s="20" t="s"/>
      <c r="J56" s="96">
        <v>1</v>
      </c>
    </row>
    <row r="57" spans="1:10" customHeight="false">
      <c r="A57" s="20" t="s"/>
      <c r="B57" s="71" t="s">
        <v>183</v>
      </c>
      <c r="C57" s="102" t="s">
        <v>184</v>
      </c>
      <c r="E57" s="20">
        <f>=F57</f>
        <v>1</v>
      </c>
      <c r="F57" s="103">
        <v>1</v>
      </c>
      <c r="I57" s="20" t="s"/>
      <c r="J57" s="96">
        <v>2</v>
      </c>
    </row>
    <row r="58" spans="1:10" customHeight="false">
      <c r="A58" s="33" t="s"/>
      <c r="B58" s="90" t="s">
        <v>145</v>
      </c>
      <c r="C58" s="104" t="s">
        <v>185</v>
      </c>
      <c r="D58" s="33" t="s"/>
      <c r="E58" s="33">
        <f>=F58</f>
        <v>0</v>
      </c>
      <c r="F58" s="100" t="s"/>
      <c r="G58" s="38" t="s"/>
      <c r="H58" s="38" t="s"/>
      <c r="I58" s="33" t="s"/>
      <c r="J58" s="101">
        <v>1</v>
      </c>
    </row>
    <row r="59" spans="9:10" customHeight="false">
      <c r="I59" s="20" t="s"/>
      <c r="J59" s="20" t="s"/>
    </row>
    <row r="60" spans="9:10" customHeight="false">
      <c r="I60" s="20" t="s"/>
      <c r="J60" s="20" t="s"/>
    </row>
    <row r="61" spans="9:10" customHeight="false">
      <c r="I61" s="20" t="s"/>
      <c r="J61" s="20" t="s"/>
    </row>
    <row r="62" spans="9:10" customHeight="false">
      <c r="I62" s="20" t="s"/>
      <c r="J62" s="20" t="s"/>
    </row>
    <row r="63" spans="9:10" customHeight="false">
      <c r="I63" s="20" t="s"/>
      <c r="J63" s="20" t="s"/>
    </row>
    <row r="64" spans="3:10" customHeight="false">
      <c r="C64" s="31" t="s"/>
      <c r="I64" s="20" t="s"/>
      <c r="J64" s="20" t="s"/>
    </row>
    <row r="65" spans="3:10" customHeight="false">
      <c r="C65" s="31" t="s"/>
      <c r="I65" s="20" t="s"/>
      <c r="J65" s="20" t="s"/>
    </row>
    <row r="66" spans="3:10" customHeight="false">
      <c r="C66" s="31" t="s"/>
      <c r="I66" s="20" t="s"/>
      <c r="J66" s="20" t="s"/>
    </row>
    <row r="67" spans="9:10" customHeight="false">
      <c r="I67" s="20" t="s"/>
      <c r="J67" s="20" t="s"/>
    </row>
    <row r="68" spans="9:10" customHeight="false">
      <c r="I68" s="20" t="s"/>
      <c r="J68" s="20" t="s"/>
    </row>
    <row r="69" spans="9:10" customHeight="false">
      <c r="I69" s="20" t="s"/>
      <c r="J69" s="20" t="s"/>
    </row>
    <row r="70" spans="3:10" customHeight="false">
      <c r="C70" s="31" t="s"/>
      <c r="I70" s="20" t="s"/>
      <c r="J70" s="20" t="s"/>
    </row>
    <row r="71" spans="3:10" customHeight="false">
      <c r="C71" s="31" t="s"/>
      <c r="I71" s="20" t="s"/>
      <c r="J71" s="20" t="s"/>
    </row>
    <row r="72" spans="3:10" customHeight="false">
      <c r="C72" s="31" t="s"/>
      <c r="I72" s="20" t="s"/>
      <c r="J72" s="20" t="s"/>
    </row>
    <row r="73" spans="3:10" customHeight="false">
      <c r="C73" s="31" t="s">
        <v>497</v>
      </c>
      <c r="I73" s="20" t="s"/>
      <c r="J73" s="20" t="s"/>
    </row>
    <row r="74" spans="3:10" customHeight="false">
      <c r="C74" s="31" t="s">
        <v>498</v>
      </c>
      <c r="I74" s="20" t="s"/>
      <c r="J74" s="20" t="s"/>
    </row>
    <row r="75" spans="3:10" customHeight="false">
      <c r="C75" s="31" t="s">
        <v>499</v>
      </c>
      <c r="I75" s="20" t="s"/>
      <c r="J75" s="20" t="s"/>
    </row>
    <row r="76" spans="3:10" customHeight="false">
      <c r="C76" s="31" t="s">
        <v>500</v>
      </c>
      <c r="I76" s="20" t="s"/>
      <c r="J76" s="20" t="s"/>
    </row>
    <row r="77" spans="3:10" customHeight="false">
      <c r="C77" s="31" t="s">
        <v>501</v>
      </c>
      <c r="I77" s="20" t="s"/>
      <c r="J77" s="20" t="s"/>
    </row>
    <row r="78" spans="3:10" customHeight="false">
      <c r="C78" s="31" t="s"/>
      <c r="I78" s="20" t="s"/>
      <c r="J78" s="20" t="s"/>
    </row>
    <row r="79" spans="3:10" customHeight="false">
      <c r="C79" s="105" t="s">
        <v>186</v>
      </c>
      <c r="I79" s="20" t="s"/>
      <c r="J79" s="20" t="s"/>
    </row>
    <row r="80" spans="9:10" customHeight="false">
      <c r="I80" s="20" t="s"/>
      <c r="J80" s="20" t="s"/>
    </row>
    <row r="81" spans="9:10" customHeight="false">
      <c r="I81" s="20" t="s"/>
      <c r="J81" s="20" t="s"/>
    </row>
    <row r="82" spans="9:10" customHeight="false">
      <c r="I82" s="20" t="s"/>
      <c r="J82" s="20" t="s"/>
    </row>
    <row r="83" spans="3:10" customHeight="false">
      <c r="C83" s="31" t="s"/>
      <c r="I83" s="20" t="s"/>
      <c r="J83" s="20" t="s"/>
    </row>
    <row r="84" spans="3:10" customHeight="false">
      <c r="C84" s="31" t="s"/>
      <c r="I84" s="20" t="s"/>
      <c r="J84" s="20" t="s"/>
    </row>
    <row r="85" spans="3:10" customHeight="false">
      <c r="C85" s="31" t="s"/>
      <c r="I85" s="20" t="s"/>
      <c r="J85" s="20" t="s"/>
    </row>
    <row r="86" spans="3:10" customHeight="false">
      <c r="C86" s="31" t="s"/>
      <c r="I86" s="20" t="s"/>
      <c r="J86" s="20" t="s"/>
    </row>
    <row r="87" spans="3:10" customHeight="false">
      <c r="C87" s="31" t="s"/>
      <c r="I87" s="20" t="s"/>
      <c r="J87" s="20" t="s"/>
    </row>
    <row r="88" spans="3:10" customHeight="false">
      <c r="C88" s="31" t="s"/>
      <c r="I88" s="20" t="s"/>
      <c r="J88" s="20" t="s"/>
    </row>
    <row r="89" spans="3:10" customHeight="false">
      <c r="C89" s="31" t="s"/>
      <c r="I89" s="20" t="s"/>
      <c r="J89" s="20" t="s"/>
    </row>
    <row r="90" spans="3:10" customHeight="false">
      <c r="C90" s="31" t="s"/>
      <c r="I90" s="20" t="s"/>
      <c r="J90" s="20" t="s"/>
    </row>
    <row r="91" spans="3:10" customHeight="false">
      <c r="C91" s="31" t="s"/>
      <c r="I91" s="20" t="s"/>
      <c r="J91" s="20" t="s"/>
    </row>
    <row r="92" spans="3:10" customHeight="false">
      <c r="C92" s="31" t="s"/>
      <c r="I92" s="20" t="s"/>
      <c r="J92" s="20" t="s"/>
    </row>
    <row r="93" spans="3:10" customHeight="false">
      <c r="C93" s="31" t="s"/>
      <c r="I93" s="20" t="s"/>
      <c r="J93" s="20" t="s"/>
    </row>
    <row r="94" spans="3:10" customHeight="false">
      <c r="C94" s="31" t="s"/>
      <c r="I94" s="20" t="s"/>
      <c r="J94" s="20" t="s"/>
    </row>
    <row r="95" spans="3:10" customHeight="false">
      <c r="C95" s="31" t="s"/>
      <c r="I95" s="20" t="s"/>
      <c r="J95" s="20" t="s"/>
    </row>
    <row r="96" spans="3:10" customHeight="false">
      <c r="C96" s="31" t="s"/>
      <c r="I96" s="20" t="s"/>
      <c r="J96" s="20" t="s"/>
    </row>
    <row r="97" spans="3:10" customHeight="false">
      <c r="C97" s="31" t="s"/>
      <c r="I97" s="20" t="s"/>
      <c r="J97" s="20" t="s"/>
    </row>
    <row r="98" spans="3:10" customHeight="false">
      <c r="C98" s="31" t="s"/>
      <c r="I98" s="20" t="s"/>
      <c r="J98" s="20" t="s"/>
    </row>
    <row r="99" spans="3:10" customHeight="false">
      <c r="C99" s="31" t="s"/>
      <c r="I99" s="20" t="s"/>
      <c r="J99" s="20" t="s"/>
    </row>
    <row r="100" spans="3:10" customHeight="false">
      <c r="C100" s="31" t="s"/>
      <c r="I100" s="20" t="s"/>
      <c r="J100" s="20" t="s"/>
    </row>
    <row r="101" spans="3:10" customHeight="false">
      <c r="C101" s="31" t="s"/>
      <c r="I101" s="20" t="s"/>
      <c r="J101" s="20" t="s"/>
    </row>
    <row r="102" spans="3:10" customHeight="false">
      <c r="C102" s="31" t="s"/>
      <c r="I102" s="20" t="s"/>
      <c r="J102" s="20" t="s"/>
    </row>
    <row r="103" spans="3:10" customHeight="false">
      <c r="C103" s="31" t="s"/>
      <c r="I103" s="20" t="s"/>
      <c r="J103" s="20" t="s"/>
    </row>
    <row r="104" spans="3:10" customHeight="false">
      <c r="C104" s="31" t="s"/>
      <c r="I104" s="20" t="s"/>
      <c r="J104" s="20" t="s"/>
    </row>
    <row r="105" spans="3:10" customHeight="false">
      <c r="C105" s="31" t="s"/>
      <c r="I105" s="20" t="s"/>
      <c r="J105" s="20" t="s"/>
    </row>
    <row r="106" spans="3:10" customHeight="false">
      <c r="C106" s="31" t="s"/>
      <c r="I106" s="20" t="s"/>
      <c r="J106" s="20" t="s"/>
    </row>
    <row r="107" spans="3:10" customHeight="false">
      <c r="C107" s="31" t="s"/>
      <c r="I107" s="20" t="s"/>
      <c r="J107" s="20" t="s"/>
    </row>
    <row r="108" spans="3:10" customHeight="false">
      <c r="C108" s="31" t="s"/>
      <c r="I108" s="20" t="s"/>
      <c r="J108" s="20" t="s"/>
    </row>
    <row r="109" spans="3:10" customHeight="false">
      <c r="C109" s="31" t="s"/>
      <c r="I109" s="20" t="s"/>
      <c r="J109" s="20" t="s"/>
    </row>
    <row r="110" spans="3:10" customHeight="false">
      <c r="C110" s="31" t="s"/>
      <c r="I110" s="20" t="s"/>
      <c r="J110" s="20" t="s"/>
    </row>
    <row r="111" spans="3:10" customHeight="false">
      <c r="C111" s="31" t="s"/>
      <c r="I111" s="20" t="s"/>
      <c r="J111" s="20" t="s"/>
    </row>
    <row r="112" spans="3:10" customHeight="false">
      <c r="C112" s="31" t="s"/>
      <c r="I112" s="20" t="s"/>
      <c r="J112" s="20" t="s"/>
    </row>
    <row r="113" spans="3:10" customHeight="false">
      <c r="C113" s="31" t="s"/>
      <c r="I113" s="20" t="s"/>
      <c r="J113" s="20" t="s"/>
    </row>
    <row r="114" spans="3:10" customHeight="false">
      <c r="C114" s="31" t="s"/>
      <c r="I114" s="20" t="s"/>
      <c r="J114" s="20" t="s"/>
    </row>
    <row r="115" spans="3:10" customHeight="false">
      <c r="C115" s="31" t="s"/>
      <c r="I115" s="20" t="s"/>
      <c r="J115" s="20" t="s"/>
    </row>
    <row r="116" spans="3:10" customHeight="false">
      <c r="C116" s="31" t="s"/>
      <c r="I116" s="20" t="s"/>
      <c r="J116" s="20" t="s"/>
    </row>
    <row r="117" spans="3:10" customHeight="false">
      <c r="C117" s="31" t="s"/>
      <c r="I117" s="20" t="s"/>
      <c r="J117" s="20" t="s"/>
    </row>
    <row r="118" spans="3:10" customHeight="false">
      <c r="C118" s="31" t="s"/>
      <c r="I118" s="20" t="s"/>
      <c r="J118" s="20" t="s"/>
    </row>
    <row r="119" spans="3:10" customHeight="false">
      <c r="C119" s="31" t="s"/>
      <c r="I119" s="20" t="s"/>
      <c r="J119" s="20" t="s"/>
    </row>
    <row r="120" spans="3:10" customHeight="false">
      <c r="C120" s="31" t="s"/>
      <c r="I120" s="20" t="s"/>
      <c r="J120" s="20" t="s"/>
    </row>
    <row r="121" spans="3:10" customHeight="false">
      <c r="C121" s="31" t="s"/>
      <c r="I121" s="20" t="s"/>
      <c r="J121" s="20" t="s"/>
    </row>
    <row r="122" spans="3:10" customHeight="false">
      <c r="C122" s="31" t="s"/>
      <c r="I122" s="20" t="s"/>
      <c r="J122" s="20" t="s"/>
    </row>
    <row r="123" spans="3:10" customHeight="false">
      <c r="C123" s="31" t="s"/>
      <c r="I123" s="20" t="s"/>
      <c r="J123" s="20" t="s"/>
    </row>
    <row r="124" spans="3:10" customHeight="false">
      <c r="C124" s="31" t="s"/>
      <c r="I124" s="20" t="s"/>
      <c r="J124" s="20" t="s"/>
    </row>
    <row r="125" spans="3:10" customHeight="false">
      <c r="C125" s="31" t="s"/>
      <c r="I125" s="20" t="s"/>
      <c r="J125" s="20" t="s"/>
    </row>
    <row r="126" spans="3:10" customHeight="false">
      <c r="C126" s="31" t="s"/>
      <c r="I126" s="20" t="s"/>
      <c r="J126" s="20" t="s"/>
    </row>
    <row r="127" spans="3:10" customHeight="false">
      <c r="C127" s="31" t="s"/>
      <c r="I127" s="20" t="s"/>
      <c r="J127" s="20" t="s"/>
    </row>
    <row r="128" spans="3:10" customHeight="false">
      <c r="C128" s="31" t="s"/>
      <c r="I128" s="20" t="s"/>
      <c r="J128" s="20" t="s"/>
    </row>
    <row r="129" spans="3:10" customHeight="false">
      <c r="C129" s="31" t="s"/>
      <c r="I129" s="20" t="s"/>
      <c r="J129" s="20" t="s"/>
    </row>
    <row r="130" spans="3:10" customHeight="false">
      <c r="C130" s="31" t="s"/>
      <c r="I130" s="20" t="s"/>
      <c r="J130" s="20" t="s"/>
    </row>
    <row r="131" spans="3:10" customHeight="false">
      <c r="C131" s="31" t="s"/>
      <c r="I131" s="20" t="s"/>
      <c r="J131" s="20" t="s"/>
    </row>
    <row r="132" spans="3:10" customHeight="false">
      <c r="C132" s="31" t="s"/>
      <c r="I132" s="20" t="s"/>
      <c r="J132" s="20" t="s"/>
    </row>
    <row r="133" spans="3:10" customHeight="false">
      <c r="C133" s="31" t="s"/>
      <c r="I133" s="20" t="s"/>
      <c r="J133" s="20" t="s"/>
    </row>
    <row r="134" spans="3:10" customHeight="false">
      <c r="C134" s="31" t="s"/>
      <c r="I134" s="20" t="s"/>
      <c r="J134" s="20" t="s"/>
    </row>
    <row r="135" spans="3:10" customHeight="false">
      <c r="C135" s="31" t="s"/>
      <c r="I135" s="20" t="s"/>
      <c r="J135" s="20" t="s"/>
    </row>
    <row r="136" spans="3:10" customHeight="false">
      <c r="C136" s="31" t="s"/>
      <c r="I136" s="20" t="s"/>
      <c r="J136" s="20" t="s"/>
    </row>
    <row r="137" spans="3:10" customHeight="false">
      <c r="C137" s="31" t="s"/>
      <c r="I137" s="20" t="s"/>
      <c r="J137" s="20" t="s"/>
    </row>
    <row r="138" spans="3:10" customHeight="false">
      <c r="C138" s="31" t="s"/>
      <c r="I138" s="20" t="s"/>
      <c r="J138" s="20" t="s"/>
    </row>
    <row r="139" spans="3:10" customHeight="false">
      <c r="C139" s="31" t="s"/>
      <c r="I139" s="20" t="s"/>
      <c r="J139" s="20" t="s"/>
    </row>
    <row r="140" spans="3:10" customHeight="false">
      <c r="C140" s="31" t="s"/>
      <c r="I140" s="20" t="s"/>
      <c r="J140" s="20" t="s"/>
    </row>
    <row r="141" spans="3:10" customHeight="false">
      <c r="C141" s="31" t="s"/>
      <c r="I141" s="20" t="s"/>
      <c r="J141" s="20" t="s"/>
    </row>
    <row r="142" spans="3:10" customHeight="false">
      <c r="C142" s="31" t="s"/>
      <c r="I142" s="20" t="s"/>
      <c r="J142" s="20" t="s"/>
    </row>
    <row r="143" spans="3:10" customHeight="false">
      <c r="C143" s="31" t="s"/>
      <c r="I143" s="20" t="s"/>
      <c r="J143" s="20" t="s"/>
    </row>
    <row r="144" spans="3:10" customHeight="false">
      <c r="C144" s="31" t="s"/>
      <c r="I144" s="20" t="s"/>
      <c r="J144" s="20" t="s"/>
    </row>
    <row r="145" spans="3:10" customHeight="false">
      <c r="C145" s="31" t="s"/>
      <c r="I145" s="20" t="s"/>
      <c r="J145" s="20" t="s"/>
    </row>
    <row r="146" spans="3:10" customHeight="false">
      <c r="C146" s="31" t="s"/>
      <c r="I146" s="20" t="s"/>
      <c r="J146" s="20" t="s"/>
    </row>
    <row r="147" spans="3:10" customHeight="false">
      <c r="C147" s="31" t="s"/>
      <c r="I147" s="20" t="s"/>
      <c r="J147" s="20" t="s"/>
    </row>
    <row r="148" spans="3:10" customHeight="false">
      <c r="C148" s="31" t="s"/>
      <c r="I148" s="20" t="s"/>
      <c r="J148" s="20" t="s"/>
    </row>
    <row r="149" spans="3:10" customHeight="false">
      <c r="C149" s="31" t="s"/>
      <c r="I149" s="20" t="s"/>
      <c r="J149" s="20" t="s"/>
    </row>
    <row r="150" spans="3:10" customHeight="false">
      <c r="C150" s="31" t="s"/>
      <c r="I150" s="20" t="s"/>
      <c r="J150" s="20" t="s"/>
    </row>
    <row r="151" spans="3:10" customHeight="false">
      <c r="C151" s="31" t="s"/>
      <c r="I151" s="20" t="s"/>
      <c r="J151" s="20" t="s"/>
    </row>
    <row r="152" spans="3:10" customHeight="false">
      <c r="C152" s="31" t="s"/>
      <c r="I152" s="20" t="s"/>
      <c r="J152" s="20" t="s"/>
    </row>
    <row r="153" spans="3:10" customHeight="false">
      <c r="C153" s="31" t="s"/>
      <c r="I153" s="20" t="s"/>
      <c r="J153" s="20" t="s"/>
    </row>
    <row r="154" spans="3:10" customHeight="false">
      <c r="C154" s="31" t="s"/>
      <c r="I154" s="20" t="s"/>
      <c r="J154" s="20" t="s"/>
    </row>
    <row r="155" spans="3:10" customHeight="false">
      <c r="C155" s="31" t="s"/>
      <c r="I155" s="20" t="s"/>
      <c r="J155" s="20" t="s"/>
    </row>
    <row r="156" spans="3:10" customHeight="false">
      <c r="C156" s="31" t="s"/>
      <c r="I156" s="20" t="s"/>
      <c r="J156" s="20" t="s"/>
    </row>
    <row r="157" spans="3:10" customHeight="false">
      <c r="C157" s="31" t="s"/>
      <c r="I157" s="20" t="s"/>
      <c r="J157" s="20" t="s"/>
    </row>
    <row r="158" spans="3:10" customHeight="false">
      <c r="C158" s="31" t="s"/>
      <c r="I158" s="20" t="s"/>
      <c r="J158" s="20" t="s"/>
    </row>
    <row r="159" spans="3:10" customHeight="false">
      <c r="C159" s="31" t="s"/>
      <c r="I159" s="20" t="s"/>
      <c r="J159" s="20" t="s"/>
    </row>
    <row r="160" spans="3:10" customHeight="false">
      <c r="C160" s="31" t="s"/>
      <c r="I160" s="20" t="s"/>
      <c r="J160" s="20" t="s"/>
    </row>
    <row r="161" spans="3:10" customHeight="false">
      <c r="C161" s="31" t="s"/>
      <c r="I161" s="20" t="s"/>
      <c r="J161" s="20" t="s"/>
    </row>
    <row r="162" spans="3:10" customHeight="false">
      <c r="C162" s="31" t="s"/>
      <c r="I162" s="20" t="s"/>
      <c r="J162" s="20" t="s"/>
    </row>
    <row r="163" spans="3:10" customHeight="false">
      <c r="C163" s="31" t="s"/>
      <c r="I163" s="20" t="s"/>
      <c r="J163" s="20" t="s"/>
    </row>
    <row r="164" spans="3:10" customHeight="false">
      <c r="C164" s="31" t="s"/>
      <c r="I164" s="20" t="s"/>
      <c r="J164" s="20" t="s"/>
    </row>
    <row r="165" spans="3:10" customHeight="false">
      <c r="C165" s="31" t="s"/>
      <c r="I165" s="20" t="s"/>
      <c r="J165" s="20" t="s"/>
    </row>
    <row r="166" spans="3:10" customHeight="false">
      <c r="C166" s="31" t="s"/>
      <c r="I166" s="20" t="s"/>
      <c r="J166" s="20" t="s"/>
    </row>
    <row r="167" spans="3:10" customHeight="false">
      <c r="C167" s="31" t="s"/>
      <c r="I167" s="20" t="s"/>
      <c r="J167" s="20" t="s"/>
    </row>
    <row r="168" spans="3:10" customHeight="false">
      <c r="C168" s="31" t="s"/>
      <c r="I168" s="20" t="s"/>
      <c r="J168" s="20" t="s"/>
    </row>
    <row r="169" spans="3:10" customHeight="false">
      <c r="C169" s="31" t="s"/>
      <c r="I169" s="20" t="s"/>
      <c r="J169" s="20" t="s"/>
    </row>
    <row r="170" spans="3:10" customHeight="false">
      <c r="C170" s="31" t="s"/>
      <c r="I170" s="20" t="s"/>
      <c r="J170" s="20" t="s"/>
    </row>
    <row r="171" spans="3:10" customHeight="false">
      <c r="C171" s="31" t="s"/>
      <c r="I171" s="20" t="s"/>
      <c r="J171" s="20" t="s"/>
    </row>
    <row r="172" spans="3:10" customHeight="false">
      <c r="C172" s="31" t="s"/>
      <c r="I172" s="20" t="s"/>
      <c r="J172" s="20" t="s"/>
    </row>
    <row r="173" spans="3:10" customHeight="false">
      <c r="C173" s="31" t="s"/>
      <c r="I173" s="20" t="s"/>
      <c r="J173" s="20" t="s"/>
    </row>
    <row r="174" spans="3:10" customHeight="false">
      <c r="C174" s="31" t="s"/>
      <c r="I174" s="20" t="s"/>
      <c r="J174" s="20" t="s"/>
    </row>
    <row r="175" spans="3:10" customHeight="false">
      <c r="C175" s="31" t="s"/>
      <c r="I175" s="20" t="s"/>
      <c r="J175" s="20" t="s"/>
    </row>
    <row r="176" spans="3:10" customHeight="false">
      <c r="C176" s="31" t="s"/>
      <c r="I176" s="20" t="s"/>
      <c r="J176" s="20" t="s"/>
    </row>
    <row r="177" spans="3:10" customHeight="false">
      <c r="C177" s="31" t="s"/>
      <c r="I177" s="20" t="s"/>
      <c r="J177" s="20" t="s"/>
    </row>
    <row r="178" spans="3:10" customHeight="false">
      <c r="C178" s="31" t="s"/>
      <c r="I178" s="20" t="s"/>
      <c r="J178" s="20" t="s"/>
    </row>
    <row r="179" spans="3:10" customHeight="false">
      <c r="C179" s="31" t="s"/>
      <c r="I179" s="20" t="s"/>
      <c r="J179" s="20" t="s"/>
    </row>
    <row r="180" spans="3:10" customHeight="false">
      <c r="C180" s="31" t="s"/>
      <c r="I180" s="20" t="s"/>
      <c r="J180" s="20" t="s"/>
    </row>
    <row r="181" spans="3:10" customHeight="false">
      <c r="C181" s="31" t="s"/>
      <c r="I181" s="20" t="s"/>
      <c r="J181" s="20" t="s"/>
    </row>
    <row r="182" spans="3:10" customHeight="false">
      <c r="C182" s="31" t="s"/>
      <c r="I182" s="20" t="s"/>
      <c r="J182" s="20" t="s"/>
    </row>
    <row r="183" spans="3:10" customHeight="false">
      <c r="C183" s="31" t="s"/>
      <c r="I183" s="20" t="s"/>
      <c r="J183" s="20" t="s"/>
    </row>
    <row r="184" spans="3:10" customHeight="false">
      <c r="C184" s="31" t="s"/>
      <c r="I184" s="20" t="s"/>
      <c r="J184" s="20" t="s"/>
    </row>
    <row r="185" spans="3:10" customHeight="false">
      <c r="C185" s="31" t="s"/>
      <c r="I185" s="20" t="s"/>
      <c r="J185" s="20" t="s"/>
    </row>
    <row r="186" spans="3:10" customHeight="false">
      <c r="C186" s="31" t="s"/>
      <c r="I186" s="20" t="s"/>
      <c r="J186" s="20" t="s"/>
    </row>
    <row r="187" spans="3:10" customHeight="false">
      <c r="C187" s="31" t="s"/>
      <c r="I187" s="20" t="s"/>
      <c r="J187" s="20" t="s"/>
    </row>
    <row r="188" spans="3:10" customHeight="false">
      <c r="C188" s="31" t="s"/>
      <c r="I188" s="20" t="s"/>
      <c r="J188" s="20" t="s"/>
    </row>
    <row r="189" spans="3:10" customHeight="false">
      <c r="C189" s="31" t="s"/>
      <c r="I189" s="20" t="s"/>
      <c r="J189" s="20" t="s"/>
    </row>
    <row r="190" spans="3:10" customHeight="false">
      <c r="C190" s="31" t="s"/>
      <c r="I190" s="20" t="s"/>
      <c r="J190" s="20" t="s"/>
    </row>
    <row r="191" spans="3:10" customHeight="false">
      <c r="C191" s="31" t="s"/>
      <c r="I191" s="20" t="s"/>
      <c r="J191" s="20" t="s"/>
    </row>
    <row r="192" spans="3:10" customHeight="false">
      <c r="C192" s="31" t="s"/>
      <c r="I192" s="20" t="s"/>
      <c r="J192" s="20" t="s"/>
    </row>
    <row r="193" spans="3:10" customHeight="false">
      <c r="C193" s="31" t="s"/>
      <c r="I193" s="20" t="s"/>
      <c r="J193" s="20" t="s"/>
    </row>
    <row r="194" spans="3:10" customHeight="false">
      <c r="C194" s="31" t="s"/>
      <c r="I194" s="20" t="s"/>
      <c r="J194" s="20" t="s"/>
    </row>
    <row r="195" spans="3:10" customHeight="false">
      <c r="C195" s="31" t="s"/>
      <c r="I195" s="20" t="s"/>
      <c r="J195" s="20" t="s"/>
    </row>
    <row r="196" spans="3:10" customHeight="false">
      <c r="C196" s="31" t="s"/>
      <c r="I196" s="20" t="s"/>
      <c r="J196" s="20" t="s"/>
    </row>
    <row r="197" spans="3:10" customHeight="false">
      <c r="C197" s="31" t="s"/>
      <c r="I197" s="20" t="s"/>
      <c r="J197" s="20" t="s"/>
    </row>
    <row r="198" spans="3:10" customHeight="false">
      <c r="C198" s="31" t="s"/>
      <c r="I198" s="20" t="s"/>
      <c r="J198" s="20" t="s"/>
    </row>
    <row r="199" spans="3:10" customHeight="false">
      <c r="C199" s="31" t="s"/>
      <c r="I199" s="20" t="s"/>
      <c r="J199" s="20" t="s"/>
    </row>
    <row r="200" spans="3:10" customHeight="false">
      <c r="C200" s="31" t="s"/>
      <c r="I200" s="20" t="s"/>
      <c r="J200" s="20" t="s"/>
    </row>
    <row r="201" spans="3:10" customHeight="false">
      <c r="C201" s="31" t="s"/>
      <c r="I201" s="20" t="s"/>
      <c r="J201" s="20" t="s"/>
    </row>
    <row r="202" spans="3:10" customHeight="false">
      <c r="C202" s="31" t="s"/>
      <c r="I202" s="20" t="s"/>
      <c r="J202" s="20" t="s"/>
    </row>
    <row r="203" spans="3:10" customHeight="false">
      <c r="C203" s="31" t="s"/>
      <c r="I203" s="20" t="s"/>
      <c r="J203" s="20" t="s"/>
    </row>
    <row r="204" spans="3:10" customHeight="false">
      <c r="C204" s="31" t="s"/>
      <c r="I204" s="20" t="s"/>
      <c r="J204" s="20" t="s"/>
    </row>
    <row r="205" spans="3:10" customHeight="false">
      <c r="C205" s="31" t="s"/>
      <c r="I205" s="20" t="s"/>
      <c r="J205" s="20" t="s"/>
    </row>
    <row r="206" spans="3:10" customHeight="false">
      <c r="C206" s="31" t="s"/>
      <c r="I206" s="20" t="s"/>
      <c r="J206" s="20" t="s"/>
    </row>
    <row r="207" spans="3:10" customHeight="false">
      <c r="C207" s="31" t="s"/>
      <c r="I207" s="20" t="s"/>
      <c r="J207" s="20" t="s"/>
    </row>
    <row r="208" spans="3:10" customHeight="false">
      <c r="C208" s="31" t="s"/>
      <c r="I208" s="20" t="s"/>
      <c r="J208" s="20" t="s"/>
    </row>
    <row r="209" spans="3:10" customHeight="false">
      <c r="C209" s="31" t="s"/>
      <c r="I209" s="20" t="s"/>
      <c r="J209" s="20" t="s"/>
    </row>
    <row r="210" spans="3:10" customHeight="false">
      <c r="C210" s="31" t="s"/>
      <c r="I210" s="20" t="s"/>
      <c r="J210" s="20" t="s"/>
    </row>
    <row r="211" spans="3:10" customHeight="false">
      <c r="C211" s="31" t="s"/>
      <c r="I211" s="20" t="s"/>
      <c r="J211" s="20" t="s"/>
    </row>
    <row r="212" spans="3:10" customHeight="false">
      <c r="C212" s="31" t="s"/>
      <c r="I212" s="20" t="s"/>
      <c r="J212" s="20" t="s"/>
    </row>
    <row r="213" spans="3:10" customHeight="false">
      <c r="C213" s="31" t="s"/>
      <c r="I213" s="20" t="s"/>
      <c r="J213" s="20" t="s"/>
    </row>
    <row r="214" spans="3:10" customHeight="false">
      <c r="C214" s="31" t="s"/>
      <c r="I214" s="20" t="s"/>
      <c r="J214" s="20" t="s"/>
    </row>
    <row r="215" spans="3:10" customHeight="false">
      <c r="C215" s="31" t="s"/>
      <c r="I215" s="20" t="s"/>
      <c r="J215" s="20" t="s"/>
    </row>
    <row r="216" spans="3:10" customHeight="false">
      <c r="C216" s="31" t="s"/>
      <c r="I216" s="20" t="s"/>
      <c r="J216" s="20" t="s"/>
    </row>
    <row r="217" spans="3:10" customHeight="false">
      <c r="C217" s="31" t="s"/>
      <c r="I217" s="20" t="s"/>
      <c r="J217" s="20" t="s"/>
    </row>
    <row r="218" spans="3:10" customHeight="false">
      <c r="C218" s="31" t="s"/>
      <c r="I218" s="20" t="s"/>
      <c r="J218" s="20" t="s"/>
    </row>
    <row r="219" spans="3:10" customHeight="false">
      <c r="C219" s="31" t="s"/>
      <c r="I219" s="20" t="s"/>
      <c r="J219" s="20" t="s"/>
    </row>
    <row r="220" spans="3:10" customHeight="false">
      <c r="C220" s="31" t="s"/>
      <c r="I220" s="20" t="s"/>
      <c r="J220" s="20" t="s"/>
    </row>
    <row r="221" spans="3:10" customHeight="false">
      <c r="C221" s="31" t="s"/>
      <c r="I221" s="20" t="s"/>
      <c r="J221" s="20" t="s"/>
    </row>
    <row r="222" spans="3:10" customHeight="false">
      <c r="C222" s="31" t="s"/>
      <c r="I222" s="20" t="s"/>
      <c r="J222" s="20" t="s"/>
    </row>
    <row r="223" spans="3:10" customHeight="false">
      <c r="C223" s="31" t="s"/>
      <c r="I223" s="20" t="s"/>
      <c r="J223" s="20" t="s"/>
    </row>
    <row r="224" spans="3:10" customHeight="false">
      <c r="C224" s="31" t="s"/>
      <c r="I224" s="20" t="s"/>
      <c r="J224" s="20" t="s"/>
    </row>
    <row r="225" spans="3:10" customHeight="false">
      <c r="C225" s="31" t="s"/>
      <c r="I225" s="20" t="s"/>
      <c r="J225" s="20" t="s"/>
    </row>
    <row r="226" spans="3:10" customHeight="false">
      <c r="C226" s="31" t="s"/>
      <c r="I226" s="20" t="s"/>
      <c r="J226" s="20" t="s"/>
    </row>
    <row r="227" spans="3:10" customHeight="false">
      <c r="C227" s="31" t="s"/>
      <c r="I227" s="20" t="s"/>
      <c r="J227" s="20" t="s"/>
    </row>
    <row r="228" spans="3:10" customHeight="false">
      <c r="C228" s="31" t="s"/>
      <c r="I228" s="20" t="s"/>
      <c r="J228" s="20" t="s"/>
    </row>
    <row r="229" spans="3:10" customHeight="false">
      <c r="C229" s="31" t="s"/>
      <c r="I229" s="20" t="s"/>
      <c r="J229" s="20" t="s"/>
    </row>
    <row r="230" spans="3:10" customHeight="false">
      <c r="C230" s="31" t="s"/>
      <c r="I230" s="20" t="s"/>
      <c r="J230" s="20" t="s"/>
    </row>
    <row r="231" spans="3:10" customHeight="false">
      <c r="C231" s="31" t="s"/>
      <c r="I231" s="20" t="s"/>
      <c r="J231" s="20" t="s"/>
    </row>
    <row r="232" spans="3:10" customHeight="false">
      <c r="C232" s="31" t="s"/>
      <c r="I232" s="20" t="s"/>
      <c r="J232" s="20" t="s"/>
    </row>
    <row r="233" spans="3:10" customHeight="false">
      <c r="C233" s="31" t="s"/>
      <c r="I233" s="20" t="s"/>
      <c r="J233" s="20" t="s"/>
    </row>
    <row r="234" spans="3:10" customHeight="false">
      <c r="C234" s="31" t="s"/>
      <c r="I234" s="20" t="s"/>
      <c r="J234" s="20" t="s"/>
    </row>
    <row r="235" spans="3:10" customHeight="false">
      <c r="C235" s="31" t="s"/>
      <c r="I235" s="20" t="s"/>
      <c r="J235" s="20" t="s"/>
    </row>
    <row r="236" spans="3:10" customHeight="false">
      <c r="C236" s="31" t="s"/>
      <c r="I236" s="20" t="s"/>
      <c r="J236" s="20" t="s"/>
    </row>
    <row r="237" spans="3:10" customHeight="false">
      <c r="C237" s="31" t="s"/>
      <c r="I237" s="20" t="s"/>
      <c r="J237" s="20" t="s"/>
    </row>
    <row r="238" spans="3:10" customHeight="false">
      <c r="C238" s="31" t="s"/>
      <c r="I238" s="20" t="s"/>
      <c r="J238" s="20" t="s"/>
    </row>
    <row r="239" spans="3:10" customHeight="false">
      <c r="C239" s="31" t="s"/>
      <c r="I239" s="20" t="s"/>
      <c r="J239" s="20" t="s"/>
    </row>
    <row r="240" spans="3:10" customHeight="false">
      <c r="C240" s="31" t="s"/>
      <c r="I240" s="20" t="s"/>
      <c r="J240" s="20" t="s"/>
    </row>
    <row r="241" spans="3:10" customHeight="false">
      <c r="C241" s="31" t="s"/>
      <c r="I241" s="20" t="s"/>
      <c r="J241" s="20" t="s"/>
    </row>
    <row r="242" spans="3:10" customHeight="false">
      <c r="C242" s="31" t="s"/>
      <c r="I242" s="20" t="s"/>
      <c r="J242" s="20" t="s"/>
    </row>
    <row r="243" spans="3:10" customHeight="false">
      <c r="C243" s="31" t="s"/>
      <c r="I243" s="20" t="s"/>
      <c r="J243" s="20" t="s"/>
    </row>
    <row r="244" spans="3:10" customHeight="false">
      <c r="C244" s="31" t="s"/>
      <c r="I244" s="20" t="s"/>
      <c r="J244" s="20" t="s"/>
    </row>
  </sheetData>
  <mergeCells count="10">
    <mergeCell ref="A22:A27"/>
    <mergeCell ref="A4:A21"/>
    <mergeCell ref="A2:E2"/>
    <mergeCell ref="A28:A33"/>
    <mergeCell ref="A34:E34"/>
    <mergeCell ref="A36:A48"/>
    <mergeCell ref="A49:E49"/>
    <mergeCell ref="A51:A53"/>
    <mergeCell ref="A54:E54"/>
    <mergeCell ref="A56:A58"/>
  </mergeCells>
</worksheet>
</file>

<file path=xl/worksheets/sheet7.xml><?xml version="1.0" encoding="utf-8"?>
<worksheet xmlns="http://schemas.openxmlformats.org/spreadsheetml/2006/main">
  <sheetPr codeName="备件发货记录">
    <tabColor rgb="FFFFFFFF"/>
  </sheetPr>
  <dimension ref="B65"/>
  <sheetViews>
    <sheetView showGridLines="true" rightToLeft="false" workbookViewId="0"/>
  </sheetViews>
  <sheetData>
    <row r="1" spans="2:2">
      <c r="B1" s="71" t="s">
        <v>56</v>
      </c>
    </row>
    <row r="2" spans="2:2">
      <c r="B2" t="s">
        <v>507</v>
      </c>
    </row>
    <row r="3" spans="2:2">
      <c r="B3" t="s">
        <v>508</v>
      </c>
    </row>
    <row r="4" spans="2:2">
      <c r="B4" t="s">
        <v>509</v>
      </c>
    </row>
    <row r="5" spans="2:2">
      <c r="B5" t="s">
        <v>510</v>
      </c>
    </row>
    <row r="6" spans="2:2">
      <c r="B6" t="s">
        <v>511</v>
      </c>
    </row>
    <row r="7" spans="2:2">
      <c r="B7" t="s">
        <v>512</v>
      </c>
    </row>
    <row r="8" spans="2:2">
      <c r="B8" t="s">
        <v>513</v>
      </c>
    </row>
    <row r="9" spans="2:2">
      <c r="B9" t="s">
        <v>514</v>
      </c>
    </row>
    <row r="10" spans="2:2">
      <c r="B10" t="s">
        <v>515</v>
      </c>
    </row>
    <row r="11" spans="2:2">
      <c r="B11" t="s">
        <v>516</v>
      </c>
    </row>
    <row r="12" spans="2:2">
      <c r="B12" t="s">
        <v>517</v>
      </c>
    </row>
    <row r="13" spans="2:2">
      <c r="B13" t="s">
        <v>518</v>
      </c>
    </row>
    <row r="14" spans="2:2">
      <c r="B14" t="s">
        <v>519</v>
      </c>
    </row>
    <row r="15" spans="2:2">
      <c r="B15" t="s">
        <v>492</v>
      </c>
    </row>
    <row r="16" spans="2:2">
      <c r="B16" t="s">
        <v>493</v>
      </c>
    </row>
    <row r="17" spans="2:2">
      <c r="B17" t="s">
        <v>494</v>
      </c>
    </row>
    <row r="18" spans="2:2">
      <c r="B18" t="s">
        <v>495</v>
      </c>
    </row>
    <row r="19" spans="2:2">
      <c r="B19" t="s">
        <v>496</v>
      </c>
    </row>
    <row r="22" spans="2:2">
      <c r="B22" t="s">
        <v>520</v>
      </c>
    </row>
    <row r="23" spans="2:2">
      <c r="B23" t="s">
        <v>521</v>
      </c>
    </row>
    <row r="24" spans="2:2">
      <c r="B24" t="s">
        <v>489</v>
      </c>
    </row>
    <row r="25" spans="2:2">
      <c r="B25" t="s">
        <v>490</v>
      </c>
    </row>
    <row r="26" spans="2:2">
      <c r="B26" t="s">
        <v>491</v>
      </c>
    </row>
    <row r="27" spans="2:2">
      <c r="B27" t="s">
        <v>522</v>
      </c>
    </row>
    <row r="28" spans="2:2">
      <c r="B28" t="s">
        <v>462</v>
      </c>
    </row>
    <row r="29" spans="2:2">
      <c r="B29" t="s">
        <v>523</v>
      </c>
    </row>
    <row r="31" spans="2:2">
      <c r="B31" t="s">
        <v>524</v>
      </c>
    </row>
    <row r="32" spans="2:2">
      <c r="B32" t="s">
        <v>525</v>
      </c>
    </row>
    <row r="34" spans="2:2">
      <c r="B34" t="s">
        <v>463</v>
      </c>
    </row>
    <row r="35" spans="2:2">
      <c r="B35" t="s">
        <v>464</v>
      </c>
    </row>
    <row r="36" spans="2:2">
      <c r="B36" t="s">
        <v>465</v>
      </c>
    </row>
    <row r="37" spans="2:2">
      <c r="B37" t="s">
        <v>466</v>
      </c>
    </row>
    <row r="38" spans="2:2">
      <c r="B38" t="s">
        <v>467</v>
      </c>
    </row>
    <row r="39" spans="2:2">
      <c r="B39" t="s">
        <v>468</v>
      </c>
    </row>
    <row r="40" spans="2:2">
      <c r="B40" t="s">
        <v>469</v>
      </c>
    </row>
    <row r="41" spans="2:2">
      <c r="B41" t="s">
        <v>470</v>
      </c>
    </row>
    <row r="42" spans="2:2">
      <c r="B42" t="s">
        <v>471</v>
      </c>
    </row>
    <row r="43" spans="2:2">
      <c r="B43" t="s">
        <v>472</v>
      </c>
    </row>
    <row r="44" spans="2:2">
      <c r="B44" t="s">
        <v>473</v>
      </c>
    </row>
    <row r="45" spans="2:2">
      <c r="B45" t="s">
        <v>474</v>
      </c>
    </row>
    <row r="46" spans="2:2">
      <c r="B46" t="s">
        <v>475</v>
      </c>
    </row>
    <row r="49" spans="2:2">
      <c r="B49" t="s">
        <v>526</v>
      </c>
    </row>
    <row r="50" spans="2:2">
      <c r="B50" t="s">
        <v>527</v>
      </c>
    </row>
    <row r="51" spans="2:2">
      <c r="B51" t="s">
        <v>528</v>
      </c>
    </row>
    <row r="52" spans="2:2">
      <c r="B52" t="s">
        <v>529</v>
      </c>
    </row>
    <row r="56" spans="2:2">
      <c r="B56" t="s">
        <v>497</v>
      </c>
    </row>
    <row r="57" spans="2:2">
      <c r="B57" t="s">
        <v>498</v>
      </c>
    </row>
    <row r="58" spans="2:2">
      <c r="B58" t="s">
        <v>499</v>
      </c>
    </row>
    <row r="59" spans="2:2">
      <c r="B59" t="s">
        <v>500</v>
      </c>
    </row>
    <row r="60" spans="2:2">
      <c r="B60" t="s">
        <v>501</v>
      </c>
    </row>
    <row r="62" spans="2:2">
      <c r="B62" s="291" t="s">
        <v>186</v>
      </c>
    </row>
    <row r="63" spans="2:2">
      <c r="B63" t="s">
        <v>530</v>
      </c>
    </row>
    <row r="64" spans="2:2">
      <c r="B64" t="s">
        <v>531</v>
      </c>
    </row>
    <row r="65" spans="2:2">
      <c r="B65" t="s">
        <v>532</v>
      </c>
    </row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2026-01-30T21:48:10Z</dcterms:created>
  <dcterms:modified xsi:type="dcterms:W3CDTF">2026-01-30T21:48:10Z</dcterms:modified>
</cp:coreProperties>
</file>